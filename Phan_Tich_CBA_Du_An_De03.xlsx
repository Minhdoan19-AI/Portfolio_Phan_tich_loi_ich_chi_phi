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274A9D96-3F8B-4CC0-A728-5083280E622D}" xr6:coauthVersionLast="47" xr6:coauthVersionMax="47" xr10:uidLastSave="{00000000-0000-0000-0000-000000000000}"/>
  <bookViews>
    <workbookView xWindow="0" yWindow="0" windowWidth="0" windowHeight="0" xr2:uid="{00000000-000D-0000-FFFF-FFFF00000000}"/>
  </bookViews>
  <sheets>
    <sheet name="Du an 3" sheetId="3" r:id="rId1"/>
    <sheet name="Bảng thông số" sheetId="1" r:id="rId2"/>
    <sheet name="Bảng tính"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2" l="1"/>
  <c r="J38" i="2"/>
  <c r="I38" i="2"/>
  <c r="H38" i="2"/>
  <c r="G38" i="2"/>
  <c r="F38" i="2"/>
  <c r="E38" i="2"/>
  <c r="D38" i="2"/>
  <c r="C33" i="2"/>
  <c r="K28" i="2"/>
  <c r="J28" i="2"/>
  <c r="I28" i="2"/>
  <c r="H28" i="2"/>
  <c r="G28" i="2"/>
  <c r="F28" i="2"/>
  <c r="E28" i="2"/>
  <c r="D28" i="2"/>
  <c r="K27" i="2"/>
  <c r="J27" i="2"/>
  <c r="I27" i="2"/>
  <c r="H27" i="2"/>
  <c r="G27" i="2"/>
  <c r="F27" i="2"/>
  <c r="E27" i="2"/>
  <c r="D27" i="2"/>
  <c r="K26" i="2"/>
  <c r="J26" i="2"/>
  <c r="I26" i="2"/>
  <c r="H26" i="2"/>
  <c r="G26" i="2"/>
  <c r="F26" i="2"/>
  <c r="E26" i="2"/>
  <c r="D26" i="2"/>
  <c r="K25" i="2"/>
  <c r="J25" i="2"/>
  <c r="I25" i="2"/>
  <c r="H25" i="2"/>
  <c r="G25" i="2"/>
  <c r="F25" i="2"/>
  <c r="E25" i="2"/>
  <c r="D25" i="2"/>
  <c r="K24" i="2"/>
  <c r="J24" i="2"/>
  <c r="I24" i="2"/>
  <c r="H24" i="2"/>
  <c r="G24" i="2"/>
  <c r="F24" i="2"/>
  <c r="E24" i="2"/>
  <c r="D24" i="2"/>
  <c r="K23" i="2"/>
  <c r="J23" i="2"/>
  <c r="I23" i="2"/>
  <c r="H23" i="2"/>
  <c r="G23" i="2"/>
  <c r="F23" i="2"/>
  <c r="E23" i="2"/>
  <c r="D23" i="2"/>
  <c r="K22" i="2"/>
  <c r="J22" i="2"/>
  <c r="I22" i="2"/>
  <c r="H22" i="2"/>
  <c r="G22" i="2"/>
  <c r="F22" i="2"/>
  <c r="E22" i="2"/>
  <c r="D22" i="2"/>
  <c r="K21" i="2"/>
  <c r="J21" i="2"/>
  <c r="I21" i="2"/>
  <c r="H21" i="2"/>
  <c r="G21" i="2"/>
  <c r="F21" i="2"/>
  <c r="E21" i="2"/>
  <c r="D21" i="2"/>
  <c r="K20" i="2"/>
  <c r="K29" i="2" s="1"/>
  <c r="J20" i="2"/>
  <c r="J29" i="2" s="1"/>
  <c r="I20" i="2"/>
  <c r="I29" i="2" s="1"/>
  <c r="H20" i="2"/>
  <c r="H29" i="2" s="1"/>
  <c r="G20" i="2"/>
  <c r="G29" i="2" s="1"/>
  <c r="F20" i="2"/>
  <c r="F29" i="2" s="1"/>
  <c r="E20" i="2"/>
  <c r="E29" i="2" s="1"/>
  <c r="D20" i="2"/>
  <c r="D29" i="2" s="1"/>
  <c r="C19" i="2"/>
  <c r="C18" i="2"/>
  <c r="C17" i="2"/>
  <c r="C16" i="2"/>
  <c r="C15" i="2"/>
  <c r="C14" i="2"/>
  <c r="C29" i="2" s="1"/>
  <c r="C12" i="2"/>
  <c r="C31" i="2" s="1"/>
  <c r="K11" i="2"/>
  <c r="K10" i="2"/>
  <c r="J10" i="2"/>
  <c r="I10" i="2"/>
  <c r="H10" i="2"/>
  <c r="G10" i="2"/>
  <c r="F10" i="2"/>
  <c r="E10" i="2"/>
  <c r="D10" i="2"/>
  <c r="K9" i="2"/>
  <c r="J9" i="2"/>
  <c r="I9" i="2"/>
  <c r="H9" i="2"/>
  <c r="G9" i="2"/>
  <c r="F9" i="2"/>
  <c r="E9" i="2"/>
  <c r="D9" i="2"/>
  <c r="K8" i="2"/>
  <c r="J8" i="2"/>
  <c r="I8" i="2"/>
  <c r="H8" i="2"/>
  <c r="G8" i="2"/>
  <c r="F8" i="2"/>
  <c r="E8" i="2"/>
  <c r="D8" i="2"/>
  <c r="K7" i="2"/>
  <c r="J7" i="2"/>
  <c r="I7" i="2"/>
  <c r="H7" i="2"/>
  <c r="G7" i="2"/>
  <c r="F7" i="2"/>
  <c r="E7" i="2"/>
  <c r="D7" i="2"/>
  <c r="K6" i="2"/>
  <c r="J6" i="2"/>
  <c r="I6" i="2"/>
  <c r="H6" i="2"/>
  <c r="G6" i="2"/>
  <c r="F6" i="2"/>
  <c r="E6" i="2"/>
  <c r="D6" i="2"/>
  <c r="K5" i="2"/>
  <c r="J5" i="2"/>
  <c r="I5" i="2"/>
  <c r="H5" i="2"/>
  <c r="G5" i="2"/>
  <c r="F5" i="2"/>
  <c r="E5" i="2"/>
  <c r="D5" i="2"/>
  <c r="K4" i="2"/>
  <c r="J4" i="2"/>
  <c r="I4" i="2"/>
  <c r="H4" i="2"/>
  <c r="G4" i="2"/>
  <c r="F4" i="2"/>
  <c r="E4" i="2"/>
  <c r="D4" i="2"/>
  <c r="K3" i="2"/>
  <c r="K12" i="2" s="1"/>
  <c r="K31" i="2" s="1"/>
  <c r="J3" i="2"/>
  <c r="J12" i="2" s="1"/>
  <c r="J31" i="2" s="1"/>
  <c r="I3" i="2"/>
  <c r="I12" i="2" s="1"/>
  <c r="I31" i="2" s="1"/>
  <c r="H3" i="2"/>
  <c r="H12" i="2" s="1"/>
  <c r="H31" i="2" s="1"/>
  <c r="G3" i="2"/>
  <c r="G12" i="2" s="1"/>
  <c r="G31" i="2" s="1"/>
  <c r="F3" i="2"/>
  <c r="F12" i="2" s="1"/>
  <c r="F31" i="2" s="1"/>
  <c r="E3" i="2"/>
  <c r="E12" i="2" s="1"/>
  <c r="E31" i="2" s="1"/>
  <c r="D3" i="2"/>
  <c r="D12" i="2" s="1"/>
  <c r="D31" i="2" s="1"/>
  <c r="C36" i="2" l="1"/>
  <c r="C39" i="2" s="1"/>
  <c r="C35" i="2"/>
  <c r="C37" i="2" s="1"/>
  <c r="C34" i="2"/>
</calcChain>
</file>

<file path=xl/sharedStrings.xml><?xml version="1.0" encoding="utf-8"?>
<sst xmlns="http://schemas.openxmlformats.org/spreadsheetml/2006/main" count="199" uniqueCount="112">
  <si>
    <t>Đề 03
Một địa phương đang có một bãi rác lộ thiên đã quá tải, gây ô nhiễm và chi phí quá cao. Hàng năm địa phương phải tốn chi phí vận hành 0,33 triệu đồng/tấn (đã bao gồm VAT 10%), chi phí cơ hội từ bãi đất chôn lấp rác là 0,04 triệu đồng/tấn, chi phí khắc phục ô nhiễm tối thiểu là 0,08 triệu đồng/tấn, đây cũng là chi phí kinh tế. UBND huyện đề xuất đầu tư Trung tâm vận hành trong 8 năm để thu gom, phân loại, ủ compost và xử lý rác sinh hoạt. Dự kiến, Trung tâm xử lý được 28000 tấn rác mỗi năm nên giúp giảm 20000 tấn rác hiện đang chôn lấp tại bãi rác hiện tại, và cũng giúp thu gom và xử lý rác ở các xã vùng ven trước đây chưa thu gom được. Người dân ở những vùng ven này sẵn sàng trả thấp nhất 0,36, cao nhất 0,6 triệu đồng/tấn. Sau khi thu gom, Trung tâm sẽ phân loại và xử lý tạo ra phụ phẩm gồm compost và phế liệu tái chế có giá trị là 7000 tấn/năm với giá 0,77 triệu đồng/tấn (giá gồm VAT 10%) và 1680 tấn/năm với giá 2100 triệu đồng/tấn (giá gồm VAT 5%). Việc đầu tư xây dựng chỉ diễn ra trong năm hiện tại với các chi phí bao gồm:
- Xây dựng nhà xưởng, sân bãi, hồ thu gom nước rỉ rác là 30 tỷ đồng (đã gồm VAT 10%); xe ép rác, thiết bị phân loại được nhập khẩu là 28 tỷ đồng (đã gồm 8% thuế nhập khẩu, 10% VAT); thùng rác và thiết bị phụ trợ là 6,6 tỷ đồng (đã gồm VAT 10%). Lao động xây dựng và lắp đặt hệ thống xử lý là 5 tỷ đồng, trong đó 50% là lao động thất nghiệp có mức tiền công mong muốn tối thiểu bằng 60% tiền công dự án, và 30% lao động nông nhàn có mức tiền công mong muốn tối thiểu bằng 70% tiền công dự án, và 20% lao động đang có việc làm với mức tiền công bằng tiền công dự án.
- Chi phí bồi thường đất là 7 tỷ đồng. Khu đất này đang bị bỏ không.
Khi Trung tâm vận hành, chi phí phát sinh thêm hàng năm:
- Nhiên liệu xe thu gom 2,2 tỷ đồng, trong đó gồm thuế VAT 10% và thuế nhiên liệu 10%. Theo qui định, thuế nhiên liệu được tính trên toàn bộ giá trị sau VAT;
- Toàn bộ chi phí tiền điện vận hành dây chuyền xử lý phải trả là 0,8 tỷ đồng. Đây là dự án đặc biệt nên được trợ cấp tiền điện 10% và điện là hàng hóa tính thuế VAT 10%. Chi phí phải trả trên đã bao gồm phần được trợ cấp và phần thuế phải trả;
- Phụ liệu xử lý được nhập khẩu 1,4 tỷ, đã bao gồm 5% thuế nhập khẩu và 10% thuế VAT; bao bì được mua tại địa phương với chi phí 1,2 tỷ đồng đã gồm VAT 10%.
- Lao động vận hành 3 tỷ đồng, trong đó gồm 40% lao động thất nghiệp, 40% lao động phi chính thức và 20% lao động đang có việc làm, với mức lương tối thiểu mong muốn lần lượt là 60%, 75% mức lương dự án, và tối thiểu bằng mức lương công việc hiện tại.
- Quản lý, bảo hiểm, hành chính 0,9 tỷ đồng, trong đó lệ phí chi trả nhà nước 0,2 tỷ đồng, còn lại là chi phí nguồn lực thực. - Chi phí chôn lấp phần rác còn lại sau xử lý là 1,26 tỷ đồng, đây cũng là chi phí kinh tế. Chi phí cơ hội đất sử dụng là 0,5 tỷ đồng.
Giá trị còn lại cuối năm 8 bằng 15% giá trị kinh tế của xây dựng, xe thiết bị nhập khẩu và thiết bị phụ trợ trong nước. Tỉ lệ chiết khấu xã hội là 8%. 
1/ Nhận dạng lợi ích và chi phí có thể có của dự án (2 điểm). 
2/ Lập bảng thông số của dự án (2 điểm). 
3/ Lập bảng tính lợi ích kinh tế hàng năm của dự án, chi phí kinh tế của mỗi loại đầu vào trong năm xây dựng và trong năm vận hành (3.75 điểm). 
4/ Tính NPV và B/C của dự án. Diễn giải kết quả dự án (1.5 điểm). 
5/ Tính giá kinh tế của mỗi tấn rác được xử lý (0.75 điểm)</t>
  </si>
  <si>
    <t>Chỉ tiêu</t>
  </si>
  <si>
    <t>Đvt</t>
  </si>
  <si>
    <t>Giá trị</t>
  </si>
  <si>
    <t>Ghi chú 1</t>
  </si>
  <si>
    <t>Ghi chú 2</t>
  </si>
  <si>
    <t>Ghi chú 3</t>
  </si>
  <si>
    <t>Ghi chú 4</t>
  </si>
  <si>
    <t>1. Giai đoạn xây dựng (Năm 0)</t>
  </si>
  <si>
    <t>Xây dựng nhà xưởng, hạ tầng</t>
  </si>
  <si>
    <t>tỷ đồng</t>
  </si>
  <si>
    <t>đã gồm</t>
  </si>
  <si>
    <t>thuế VAT</t>
  </si>
  <si>
    <t>Thiết bị nhập khẩu (xe, máy)</t>
  </si>
  <si>
    <t>thuế nhập khẩu</t>
  </si>
  <si>
    <t>Thiết bị phụ trợ trong nước</t>
  </si>
  <si>
    <t>Lao động xây dựng</t>
  </si>
  <si>
    <t>trong đó</t>
  </si>
  <si>
    <t>LĐ thất nghiệp (WTA)</t>
  </si>
  <si>
    <t>LĐ nông nhàn (WTA)</t>
  </si>
  <si>
    <t>LĐ có việc (WTA)</t>
  </si>
  <si>
    <t>Bồi thường đất</t>
  </si>
  <si>
    <t>nhưng</t>
  </si>
  <si>
    <t>đất bị bỏ không</t>
  </si>
  <si>
    <t>CF kinh tế = 0</t>
  </si>
  <si>
    <t>2. Giai đoạn vận hành (Năm 1-8)</t>
  </si>
  <si>
    <t>Nhiên liệu xe thu gom</t>
  </si>
  <si>
    <t>thuế nhiên liệu</t>
  </si>
  <si>
    <t>(tính sau VAT)</t>
  </si>
  <si>
    <t>Điện năng</t>
  </si>
  <si>
    <t>trợ cấp (giảm giá)</t>
  </si>
  <si>
    <t>Phụ liệu xử lý (nhập khẩu)</t>
  </si>
  <si>
    <t>Bao bì địa phương</t>
  </si>
  <si>
    <t>Lao động vận hành</t>
  </si>
  <si>
    <t>LĐ phi chính thức (WTA)</t>
  </si>
  <si>
    <t>Quản lý, bảo hiểm, hành chính</t>
  </si>
  <si>
    <t>lệ phí nhà nước</t>
  </si>
  <si>
    <t>Chôn lấp rác dư thừa</t>
  </si>
  <si>
    <t>chi phí kinh tế</t>
  </si>
  <si>
    <t>Chi phí cơ hội của đất</t>
  </si>
  <si>
    <t>tỷ đồng/năm</t>
  </si>
  <si>
    <t>3. Đầu ra và Lợi ích</t>
  </si>
  <si>
    <t>Tổng rác thu gom, xử lý (dự án)</t>
  </si>
  <si>
    <t>tấn/năm</t>
  </si>
  <si>
    <t>Rác thay thế bãi chôn lấp cũ</t>
  </si>
  <si>
    <t>WTP rác tăng thêm (thấp)</t>
  </si>
  <si>
    <t>triệu đ/tấn</t>
  </si>
  <si>
    <t>WTP rác tăng thêm (cao)</t>
  </si>
  <si>
    <t>Giá bán Compost</t>
  </si>
  <si>
    <t>Sản lượng Compost</t>
  </si>
  <si>
    <t>Giá bán Phế liệu tái chế</t>
  </si>
  <si>
    <t>Đề ghi 2100, quy đổi=2.1tr</t>
  </si>
  <si>
    <t>Sản lượng Phế liệu</t>
  </si>
  <si>
    <t>Chi phí vận hành bãi cũ</t>
  </si>
  <si>
    <t>Chi phí cơ hội bãi cũ</t>
  </si>
  <si>
    <t>Chi phí ô nhiễm bãi cũ</t>
  </si>
  <si>
    <t>4. Thông số khác</t>
  </si>
  <si>
    <t>Giá trị còn lại</t>
  </si>
  <si>
    <t>Tỷ lệ %</t>
  </si>
  <si>
    <t>của</t>
  </si>
  <si>
    <t>XD, thiết bị NK &amp; nội</t>
  </si>
  <si>
    <t>Suất chiết khấu xã hội</t>
  </si>
  <si>
    <t>Hạng mục</t>
  </si>
  <si>
    <t>ĐVT</t>
  </si>
  <si>
    <t>0</t>
  </si>
  <si>
    <t>1</t>
  </si>
  <si>
    <t>2</t>
  </si>
  <si>
    <t>3</t>
  </si>
  <si>
    <t>4</t>
  </si>
  <si>
    <t>5</t>
  </si>
  <si>
    <t>6</t>
  </si>
  <si>
    <t>7</t>
  </si>
  <si>
    <t>8</t>
  </si>
  <si>
    <t>I. LỢI ÍCH KINH TẾ</t>
  </si>
  <si>
    <t>1. Rác tăng thêm (WTP)</t>
  </si>
  <si>
    <t>2. Rác thay thế (tiết kiệm chi phí cũ)</t>
  </si>
  <si>
    <t xml:space="preserve">   - Tiết kiệm vận hành</t>
  </si>
  <si>
    <t xml:space="preserve">   - Tiết kiệm đất</t>
  </si>
  <si>
    <t xml:space="preserve">   - Tiết kiệm ô nhiễm</t>
  </si>
  <si>
    <t>3. Bán phụ phẩm</t>
  </si>
  <si>
    <t xml:space="preserve">   - Compost</t>
  </si>
  <si>
    <t xml:space="preserve">   - Phế liệu tái chế</t>
  </si>
  <si>
    <t>4. Giá trị còn lại</t>
  </si>
  <si>
    <t>TỔNG LỢI ÍCH (B)</t>
  </si>
  <si>
    <t>II. CHI PHÍ KINH TẾ</t>
  </si>
  <si>
    <t xml:space="preserve">   - Xây dựng nhà xưởng</t>
  </si>
  <si>
    <t xml:space="preserve">   - Thiết bị nhập khẩu</t>
  </si>
  <si>
    <t xml:space="preserve">   - Thiết bị phụ trợ</t>
  </si>
  <si>
    <t xml:space="preserve">   - Lao động xây dựng</t>
  </si>
  <si>
    <t xml:space="preserve">   - Bồi thường đất (KT=0)</t>
  </si>
  <si>
    <t xml:space="preserve">   - Nhiên liệu</t>
  </si>
  <si>
    <t xml:space="preserve">   - Điện (bù trừ trợ cấp, VAT)</t>
  </si>
  <si>
    <t xml:space="preserve">   - Phụ liệu nhập khẩu</t>
  </si>
  <si>
    <t xml:space="preserve">   - Bao bì</t>
  </si>
  <si>
    <t xml:space="preserve">   - Lao động vận hành</t>
  </si>
  <si>
    <t xml:space="preserve">   - Quản lý (đã trừ phí NN)</t>
  </si>
  <si>
    <t xml:space="preserve">   - Chôn lấp rác dư</t>
  </si>
  <si>
    <t xml:space="preserve">   - Chi phí cơ hội đất</t>
  </si>
  <si>
    <t>TỔNG CHI PHÍ (C)</t>
  </si>
  <si>
    <t>III. LỢI ÍCH RÒNG</t>
  </si>
  <si>
    <t>LỢI ÍCH RÒNG (B - C)</t>
  </si>
  <si>
    <t>IV. CHỈ TIÊU KINH TẾ</t>
  </si>
  <si>
    <t>Suất chiết khấu</t>
  </si>
  <si>
    <t>%</t>
  </si>
  <si>
    <t>NPV</t>
  </si>
  <si>
    <t>NPV Lợi Ích (B)</t>
  </si>
  <si>
    <t>NPV Chi Phí (C)</t>
  </si>
  <si>
    <t>B/C</t>
  </si>
  <si>
    <t>lần</t>
  </si>
  <si>
    <t>Phụ trợ: Tổng rác xử lý</t>
  </si>
  <si>
    <t>Giá KT xử lý 1 tấn rác</t>
  </si>
  <si>
    <t>đồng/tấn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</si>
</sst>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b/>
      <sz val="11"/>
      <name val="Calibri"/>
    </font>
  </fonts>
  <fills count="7">
    <fill>
      <patternFill patternType="none"/>
    </fill>
    <fill>
      <patternFill patternType="gray125"/>
    </fill>
    <fill>
      <patternFill patternType="solid">
        <fgColor rgb="FF4F81BD"/>
      </patternFill>
    </fill>
    <fill>
      <patternFill patternType="solid">
        <fgColor rgb="FFE6E6E6"/>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xf numFmtId="0" fontId="2" fillId="0" borderId="1" xfId="0" applyFont="1" applyBorder="1"/>
    <xf numFmtId="0" fontId="0" fillId="0" borderId="1" xfId="0" applyBorder="1"/>
    <xf numFmtId="9" fontId="0" fillId="0" borderId="1" xfId="0" applyNumberFormat="1" applyBorder="1"/>
    <xf numFmtId="0" fontId="2" fillId="4" borderId="1" xfId="0" applyFont="1" applyFill="1" applyBorder="1"/>
    <xf numFmtId="0" fontId="0" fillId="4" borderId="1" xfId="0" applyFill="1" applyBorder="1"/>
    <xf numFmtId="0" fontId="0" fillId="5" borderId="1" xfId="0" applyFill="1" applyBorder="1"/>
    <xf numFmtId="9" fontId="0" fillId="5" borderId="1" xfId="0" applyNumberFormat="1" applyFill="1" applyBorder="1"/>
    <xf numFmtId="0" fontId="1" fillId="2" borderId="1" xfId="0" applyFont="1" applyFill="1" applyBorder="1" applyAlignment="1">
      <alignment horizontal="center"/>
    </xf>
    <xf numFmtId="4" fontId="2" fillId="0" borderId="1" xfId="0" applyNumberFormat="1" applyFont="1" applyBorder="1"/>
    <xf numFmtId="4" fontId="0" fillId="0" borderId="1" xfId="0" applyNumberFormat="1" applyBorder="1"/>
    <xf numFmtId="0" fontId="2" fillId="3" borderId="1" xfId="0" applyFont="1" applyFill="1" applyBorder="1"/>
    <xf numFmtId="4" fontId="2" fillId="3" borderId="1" xfId="0" applyNumberFormat="1" applyFont="1" applyFill="1" applyBorder="1"/>
    <xf numFmtId="0" fontId="2" fillId="6" borderId="1" xfId="0" applyFont="1" applyFill="1" applyBorder="1"/>
    <xf numFmtId="4" fontId="2" fillId="6" borderId="1" xfId="0" applyNumberFormat="1" applyFont="1" applyFill="1" applyBorder="1"/>
    <xf numFmtId="4" fontId="0" fillId="5" borderId="1" xfId="0" applyNumberFormat="1" applyFill="1" applyBorder="1"/>
    <xf numFmtId="4" fontId="2" fillId="4" borderId="1" xfId="0" applyNumberFormat="1" applyFont="1" applyFill="1" applyBorder="1"/>
    <xf numFmtId="0" fontId="0" fillId="0" borderId="0" xfId="0" applyAlignment="1">
      <alignment horizontal="left" vertical="top" wrapText="1"/>
    </xf>
    <xf numFmtId="0" fontId="0" fillId="0" borderId="0" xfId="0" applyAlignment="1">
      <alignment horizontal="left"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FFFD-D0C2-494E-AD85-0EC2C69B7587}">
  <dimension ref="A1:M36"/>
  <sheetViews>
    <sheetView workbookViewId="0">
      <selection activeCell="Q13" sqref="Q13"/>
    </sheetView>
  </sheetViews>
  <sheetFormatPr defaultRowHeight="15"/>
  <sheetData>
    <row r="1" spans="1:13">
      <c r="A1" s="18" t="s">
        <v>0</v>
      </c>
      <c r="B1" s="19"/>
      <c r="C1" s="19"/>
      <c r="D1" s="19"/>
      <c r="E1" s="19"/>
      <c r="F1" s="19"/>
      <c r="G1" s="19"/>
      <c r="H1" s="19"/>
      <c r="I1" s="19"/>
      <c r="J1" s="19"/>
      <c r="K1" s="19"/>
      <c r="L1" s="19"/>
      <c r="M1" s="19"/>
    </row>
    <row r="2" spans="1:13">
      <c r="A2" s="19"/>
      <c r="B2" s="19"/>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5" spans="1:13">
      <c r="A5" s="19"/>
      <c r="B5" s="19"/>
      <c r="C5" s="19"/>
      <c r="D5" s="19"/>
      <c r="E5" s="19"/>
      <c r="F5" s="19"/>
      <c r="G5" s="19"/>
      <c r="H5" s="19"/>
      <c r="I5" s="19"/>
      <c r="J5" s="19"/>
      <c r="K5" s="19"/>
      <c r="L5" s="19"/>
      <c r="M5" s="19"/>
    </row>
    <row r="6" spans="1:13">
      <c r="A6" s="19"/>
      <c r="B6" s="19"/>
      <c r="C6" s="19"/>
      <c r="D6" s="19"/>
      <c r="E6" s="19"/>
      <c r="F6" s="19"/>
      <c r="G6" s="19"/>
      <c r="H6" s="19"/>
      <c r="I6" s="19"/>
      <c r="J6" s="19"/>
      <c r="K6" s="19"/>
      <c r="L6" s="19"/>
      <c r="M6" s="19"/>
    </row>
    <row r="7" spans="1:13">
      <c r="A7" s="19"/>
      <c r="B7" s="19"/>
      <c r="C7" s="19"/>
      <c r="D7" s="19"/>
      <c r="E7" s="19"/>
      <c r="F7" s="19"/>
      <c r="G7" s="19"/>
      <c r="H7" s="19"/>
      <c r="I7" s="19"/>
      <c r="J7" s="19"/>
      <c r="K7" s="19"/>
      <c r="L7" s="19"/>
      <c r="M7" s="19"/>
    </row>
    <row r="8" spans="1:13">
      <c r="A8" s="19"/>
      <c r="B8" s="19"/>
      <c r="C8" s="19"/>
      <c r="D8" s="19"/>
      <c r="E8" s="19"/>
      <c r="F8" s="19"/>
      <c r="G8" s="19"/>
      <c r="H8" s="19"/>
      <c r="I8" s="19"/>
      <c r="J8" s="19"/>
      <c r="K8" s="19"/>
      <c r="L8" s="19"/>
      <c r="M8" s="19"/>
    </row>
    <row r="9" spans="1:13">
      <c r="A9" s="19"/>
      <c r="B9" s="19"/>
      <c r="C9" s="19"/>
      <c r="D9" s="19"/>
      <c r="E9" s="19"/>
      <c r="F9" s="19"/>
      <c r="G9" s="19"/>
      <c r="H9" s="19"/>
      <c r="I9" s="19"/>
      <c r="J9" s="19"/>
      <c r="K9" s="19"/>
      <c r="L9" s="19"/>
      <c r="M9" s="19"/>
    </row>
    <row r="10" spans="1:13">
      <c r="A10" s="19"/>
      <c r="B10" s="19"/>
      <c r="C10" s="19"/>
      <c r="D10" s="19"/>
      <c r="E10" s="19"/>
      <c r="F10" s="19"/>
      <c r="G10" s="19"/>
      <c r="H10" s="19"/>
      <c r="I10" s="19"/>
      <c r="J10" s="19"/>
      <c r="K10" s="19"/>
      <c r="L10" s="19"/>
      <c r="M10" s="19"/>
    </row>
    <row r="11" spans="1:13">
      <c r="A11" s="19"/>
      <c r="B11" s="19"/>
      <c r="C11" s="19"/>
      <c r="D11" s="19"/>
      <c r="E11" s="19"/>
      <c r="F11" s="19"/>
      <c r="G11" s="19"/>
      <c r="H11" s="19"/>
      <c r="I11" s="19"/>
      <c r="J11" s="19"/>
      <c r="K11" s="19"/>
      <c r="L11" s="19"/>
      <c r="M11" s="19"/>
    </row>
    <row r="12" spans="1:13">
      <c r="A12" s="19"/>
      <c r="B12" s="19"/>
      <c r="C12" s="19"/>
      <c r="D12" s="19"/>
      <c r="E12" s="19"/>
      <c r="F12" s="19"/>
      <c r="G12" s="19"/>
      <c r="H12" s="19"/>
      <c r="I12" s="19"/>
      <c r="J12" s="19"/>
      <c r="K12" s="19"/>
      <c r="L12" s="19"/>
      <c r="M12" s="19"/>
    </row>
    <row r="13" spans="1:13">
      <c r="A13" s="19"/>
      <c r="B13" s="19"/>
      <c r="C13" s="19"/>
      <c r="D13" s="19"/>
      <c r="E13" s="19"/>
      <c r="F13" s="19"/>
      <c r="G13" s="19"/>
      <c r="H13" s="19"/>
      <c r="I13" s="19"/>
      <c r="J13" s="19"/>
      <c r="K13" s="19"/>
      <c r="L13" s="19"/>
      <c r="M13" s="19"/>
    </row>
    <row r="14" spans="1:13">
      <c r="A14" s="19"/>
      <c r="B14" s="19"/>
      <c r="C14" s="19"/>
      <c r="D14" s="19"/>
      <c r="E14" s="19"/>
      <c r="F14" s="19"/>
      <c r="G14" s="19"/>
      <c r="H14" s="19"/>
      <c r="I14" s="19"/>
      <c r="J14" s="19"/>
      <c r="K14" s="19"/>
      <c r="L14" s="19"/>
      <c r="M14" s="19"/>
    </row>
    <row r="15" spans="1:13">
      <c r="A15" s="19"/>
      <c r="B15" s="19"/>
      <c r="C15" s="19"/>
      <c r="D15" s="19"/>
      <c r="E15" s="19"/>
      <c r="F15" s="19"/>
      <c r="G15" s="19"/>
      <c r="H15" s="19"/>
      <c r="I15" s="19"/>
      <c r="J15" s="19"/>
      <c r="K15" s="19"/>
      <c r="L15" s="19"/>
      <c r="M15" s="19"/>
    </row>
    <row r="16" spans="1:13">
      <c r="A16" s="19"/>
      <c r="B16" s="19"/>
      <c r="C16" s="19"/>
      <c r="D16" s="19"/>
      <c r="E16" s="19"/>
      <c r="F16" s="19"/>
      <c r="G16" s="19"/>
      <c r="H16" s="19"/>
      <c r="I16" s="19"/>
      <c r="J16" s="19"/>
      <c r="K16" s="19"/>
      <c r="L16" s="19"/>
      <c r="M16" s="19"/>
    </row>
    <row r="17" spans="1:13">
      <c r="A17" s="19"/>
      <c r="B17" s="19"/>
      <c r="C17" s="19"/>
      <c r="D17" s="19"/>
      <c r="E17" s="19"/>
      <c r="F17" s="19"/>
      <c r="G17" s="19"/>
      <c r="H17" s="19"/>
      <c r="I17" s="19"/>
      <c r="J17" s="19"/>
      <c r="K17" s="19"/>
      <c r="L17" s="19"/>
      <c r="M17" s="19"/>
    </row>
    <row r="18" spans="1:13">
      <c r="A18" s="19"/>
      <c r="B18" s="19"/>
      <c r="C18" s="19"/>
      <c r="D18" s="19"/>
      <c r="E18" s="19"/>
      <c r="F18" s="19"/>
      <c r="G18" s="19"/>
      <c r="H18" s="19"/>
      <c r="I18" s="19"/>
      <c r="J18" s="19"/>
      <c r="K18" s="19"/>
      <c r="L18" s="19"/>
      <c r="M18" s="19"/>
    </row>
    <row r="19" spans="1:13">
      <c r="A19" s="19"/>
      <c r="B19" s="19"/>
      <c r="C19" s="19"/>
      <c r="D19" s="19"/>
      <c r="E19" s="19"/>
      <c r="F19" s="19"/>
      <c r="G19" s="19"/>
      <c r="H19" s="19"/>
      <c r="I19" s="19"/>
      <c r="J19" s="19"/>
      <c r="K19" s="19"/>
      <c r="L19" s="19"/>
      <c r="M19" s="19"/>
    </row>
    <row r="20" spans="1:13">
      <c r="A20" s="19"/>
      <c r="B20" s="19"/>
      <c r="C20" s="19"/>
      <c r="D20" s="19"/>
      <c r="E20" s="19"/>
      <c r="F20" s="19"/>
      <c r="G20" s="19"/>
      <c r="H20" s="19"/>
      <c r="I20" s="19"/>
      <c r="J20" s="19"/>
      <c r="K20" s="19"/>
      <c r="L20" s="19"/>
      <c r="M20" s="19"/>
    </row>
    <row r="21" spans="1:13">
      <c r="A21" s="19"/>
      <c r="B21" s="19"/>
      <c r="C21" s="19"/>
      <c r="D21" s="19"/>
      <c r="E21" s="19"/>
      <c r="F21" s="19"/>
      <c r="G21" s="19"/>
      <c r="H21" s="19"/>
      <c r="I21" s="19"/>
      <c r="J21" s="19"/>
      <c r="K21" s="19"/>
      <c r="L21" s="19"/>
      <c r="M21" s="19"/>
    </row>
    <row r="22" spans="1:13">
      <c r="A22" s="19"/>
      <c r="B22" s="19"/>
      <c r="C22" s="19"/>
      <c r="D22" s="19"/>
      <c r="E22" s="19"/>
      <c r="F22" s="19"/>
      <c r="G22" s="19"/>
      <c r="H22" s="19"/>
      <c r="I22" s="19"/>
      <c r="J22" s="19"/>
      <c r="K22" s="19"/>
      <c r="L22" s="19"/>
      <c r="M22" s="19"/>
    </row>
    <row r="23" spans="1:13">
      <c r="A23" s="19"/>
      <c r="B23" s="19"/>
      <c r="C23" s="19"/>
      <c r="D23" s="19"/>
      <c r="E23" s="19"/>
      <c r="F23" s="19"/>
      <c r="G23" s="19"/>
      <c r="H23" s="19"/>
      <c r="I23" s="19"/>
      <c r="J23" s="19"/>
      <c r="K23" s="19"/>
      <c r="L23" s="19"/>
      <c r="M23" s="19"/>
    </row>
    <row r="24" spans="1:13">
      <c r="A24" s="19"/>
      <c r="B24" s="19"/>
      <c r="C24" s="19"/>
      <c r="D24" s="19"/>
      <c r="E24" s="19"/>
      <c r="F24" s="19"/>
      <c r="G24" s="19"/>
      <c r="H24" s="19"/>
      <c r="I24" s="19"/>
      <c r="J24" s="19"/>
      <c r="K24" s="19"/>
      <c r="L24" s="19"/>
      <c r="M24" s="19"/>
    </row>
    <row r="25" spans="1:13">
      <c r="A25" s="19"/>
      <c r="B25" s="19"/>
      <c r="C25" s="19"/>
      <c r="D25" s="19"/>
      <c r="E25" s="19"/>
      <c r="F25" s="19"/>
      <c r="G25" s="19"/>
      <c r="H25" s="19"/>
      <c r="I25" s="19"/>
      <c r="J25" s="19"/>
      <c r="K25" s="19"/>
      <c r="L25" s="19"/>
      <c r="M25" s="19"/>
    </row>
    <row r="26" spans="1:13">
      <c r="A26" s="19"/>
      <c r="B26" s="19"/>
      <c r="C26" s="19"/>
      <c r="D26" s="19"/>
      <c r="E26" s="19"/>
      <c r="F26" s="19"/>
      <c r="G26" s="19"/>
      <c r="H26" s="19"/>
      <c r="I26" s="19"/>
      <c r="J26" s="19"/>
      <c r="K26" s="19"/>
      <c r="L26" s="19"/>
      <c r="M26" s="19"/>
    </row>
    <row r="27" spans="1:13">
      <c r="A27" s="19"/>
      <c r="B27" s="19"/>
      <c r="C27" s="19"/>
      <c r="D27" s="19"/>
      <c r="E27" s="19"/>
      <c r="F27" s="19"/>
      <c r="G27" s="19"/>
      <c r="H27" s="19"/>
      <c r="I27" s="19"/>
      <c r="J27" s="19"/>
      <c r="K27" s="19"/>
      <c r="L27" s="19"/>
      <c r="M27" s="19"/>
    </row>
    <row r="28" spans="1:13">
      <c r="A28" s="19"/>
      <c r="B28" s="19"/>
      <c r="C28" s="19"/>
      <c r="D28" s="19"/>
      <c r="E28" s="19"/>
      <c r="F28" s="19"/>
      <c r="G28" s="19"/>
      <c r="H28" s="19"/>
      <c r="I28" s="19"/>
      <c r="J28" s="19"/>
      <c r="K28" s="19"/>
      <c r="L28" s="19"/>
      <c r="M28" s="19"/>
    </row>
    <row r="29" spans="1:13">
      <c r="A29" s="19"/>
      <c r="B29" s="19"/>
      <c r="C29" s="19"/>
      <c r="D29" s="19"/>
      <c r="E29" s="19"/>
      <c r="F29" s="19"/>
      <c r="G29" s="19"/>
      <c r="H29" s="19"/>
      <c r="I29" s="19"/>
      <c r="J29" s="19"/>
      <c r="K29" s="19"/>
      <c r="L29" s="19"/>
      <c r="M29" s="19"/>
    </row>
    <row r="30" spans="1:13">
      <c r="A30" s="19"/>
      <c r="B30" s="19"/>
      <c r="C30" s="19"/>
      <c r="D30" s="19"/>
      <c r="E30" s="19"/>
      <c r="F30" s="19"/>
      <c r="G30" s="19"/>
      <c r="H30" s="19"/>
      <c r="I30" s="19"/>
      <c r="J30" s="19"/>
      <c r="K30" s="19"/>
      <c r="L30" s="19"/>
      <c r="M30" s="19"/>
    </row>
    <row r="31" spans="1:13">
      <c r="A31" s="19"/>
      <c r="B31" s="19"/>
      <c r="C31" s="19"/>
      <c r="D31" s="19"/>
      <c r="E31" s="19"/>
      <c r="F31" s="19"/>
      <c r="G31" s="19"/>
      <c r="H31" s="19"/>
      <c r="I31" s="19"/>
      <c r="J31" s="19"/>
      <c r="K31" s="19"/>
      <c r="L31" s="19"/>
      <c r="M31" s="19"/>
    </row>
    <row r="32" spans="1:13">
      <c r="A32" s="19"/>
      <c r="B32" s="19"/>
      <c r="C32" s="19"/>
      <c r="D32" s="19"/>
      <c r="E32" s="19"/>
      <c r="F32" s="19"/>
      <c r="G32" s="19"/>
      <c r="H32" s="19"/>
      <c r="I32" s="19"/>
      <c r="J32" s="19"/>
      <c r="K32" s="19"/>
      <c r="L32" s="19"/>
      <c r="M32" s="19"/>
    </row>
    <row r="33" spans="1:13">
      <c r="A33" s="19"/>
      <c r="B33" s="19"/>
      <c r="C33" s="19"/>
      <c r="D33" s="19"/>
      <c r="E33" s="19"/>
      <c r="F33" s="19"/>
      <c r="G33" s="19"/>
      <c r="H33" s="19"/>
      <c r="I33" s="19"/>
      <c r="J33" s="19"/>
      <c r="K33" s="19"/>
      <c r="L33" s="19"/>
      <c r="M33" s="19"/>
    </row>
    <row r="34" spans="1:13">
      <c r="A34" s="19"/>
      <c r="B34" s="19"/>
      <c r="C34" s="19"/>
      <c r="D34" s="19"/>
      <c r="E34" s="19"/>
      <c r="F34" s="19"/>
      <c r="G34" s="19"/>
      <c r="H34" s="19"/>
      <c r="I34" s="19"/>
      <c r="J34" s="19"/>
      <c r="K34" s="19"/>
      <c r="L34" s="19"/>
      <c r="M34" s="19"/>
    </row>
    <row r="35" spans="1:13">
      <c r="A35" s="19"/>
      <c r="B35" s="19"/>
      <c r="C35" s="19"/>
      <c r="D35" s="19"/>
      <c r="E35" s="19"/>
      <c r="F35" s="19"/>
      <c r="G35" s="19"/>
      <c r="H35" s="19"/>
      <c r="I35" s="19"/>
      <c r="J35" s="19"/>
      <c r="K35" s="19"/>
      <c r="L35" s="19"/>
      <c r="M35" s="19"/>
    </row>
    <row r="36" spans="1:13">
      <c r="A36" s="19"/>
      <c r="B36" s="19"/>
      <c r="C36" s="19"/>
      <c r="D36" s="19"/>
      <c r="E36" s="19"/>
      <c r="F36" s="19"/>
      <c r="G36" s="19"/>
      <c r="H36" s="19"/>
      <c r="I36" s="19"/>
      <c r="J36" s="19"/>
      <c r="K36" s="19"/>
      <c r="L36" s="19"/>
      <c r="M36" s="19"/>
    </row>
  </sheetData>
  <mergeCells count="1">
    <mergeCell ref="A1:M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workbookViewId="0">
      <selection activeCell="I14" sqref="I14"/>
    </sheetView>
  </sheetViews>
  <sheetFormatPr defaultRowHeight="15"/>
  <cols>
    <col min="1" max="1" width="38" customWidth="1"/>
    <col min="2" max="2" width="15" customWidth="1"/>
    <col min="3" max="4" width="12" customWidth="1"/>
    <col min="5" max="5" width="25" customWidth="1"/>
    <col min="6" max="6" width="15" customWidth="1"/>
    <col min="7" max="7" width="24.7109375" bestFit="1" customWidth="1"/>
  </cols>
  <sheetData>
    <row r="1" spans="1:7">
      <c r="A1" s="1" t="s">
        <v>1</v>
      </c>
      <c r="B1" s="1" t="s">
        <v>2</v>
      </c>
      <c r="C1" s="1" t="s">
        <v>3</v>
      </c>
      <c r="D1" s="1" t="s">
        <v>4</v>
      </c>
      <c r="E1" s="1" t="s">
        <v>5</v>
      </c>
      <c r="F1" s="1" t="s">
        <v>6</v>
      </c>
      <c r="G1" s="1" t="s">
        <v>7</v>
      </c>
    </row>
    <row r="2" spans="1:7">
      <c r="A2" s="5" t="s">
        <v>8</v>
      </c>
      <c r="B2" s="6"/>
      <c r="C2" s="6"/>
      <c r="D2" s="6"/>
      <c r="E2" s="6"/>
      <c r="F2" s="6"/>
      <c r="G2" s="6"/>
    </row>
    <row r="3" spans="1:7">
      <c r="A3" s="7" t="s">
        <v>9</v>
      </c>
      <c r="B3" s="7" t="s">
        <v>10</v>
      </c>
      <c r="C3" s="7">
        <v>30</v>
      </c>
      <c r="D3" s="7" t="s">
        <v>11</v>
      </c>
      <c r="E3" s="7" t="s">
        <v>12</v>
      </c>
      <c r="F3" s="8">
        <v>0.1</v>
      </c>
      <c r="G3" s="7"/>
    </row>
    <row r="4" spans="1:7">
      <c r="A4" s="7" t="s">
        <v>13</v>
      </c>
      <c r="B4" s="7" t="s">
        <v>10</v>
      </c>
      <c r="C4" s="7">
        <v>28</v>
      </c>
      <c r="D4" s="7" t="s">
        <v>11</v>
      </c>
      <c r="E4" s="7" t="s">
        <v>12</v>
      </c>
      <c r="F4" s="8">
        <v>0.1</v>
      </c>
      <c r="G4" s="7"/>
    </row>
    <row r="5" spans="1:7">
      <c r="A5" s="7"/>
      <c r="B5" s="7"/>
      <c r="C5" s="7"/>
      <c r="D5" s="7" t="s">
        <v>11</v>
      </c>
      <c r="E5" s="7" t="s">
        <v>14</v>
      </c>
      <c r="F5" s="8">
        <v>0.08</v>
      </c>
      <c r="G5" s="7"/>
    </row>
    <row r="6" spans="1:7">
      <c r="A6" s="7" t="s">
        <v>15</v>
      </c>
      <c r="B6" s="7" t="s">
        <v>10</v>
      </c>
      <c r="C6" s="7">
        <v>6.6</v>
      </c>
      <c r="D6" s="7" t="s">
        <v>11</v>
      </c>
      <c r="E6" s="7" t="s">
        <v>12</v>
      </c>
      <c r="F6" s="8">
        <v>0.1</v>
      </c>
      <c r="G6" s="7"/>
    </row>
    <row r="7" spans="1:7">
      <c r="A7" s="7" t="s">
        <v>16</v>
      </c>
      <c r="B7" s="7" t="s">
        <v>10</v>
      </c>
      <c r="C7" s="7">
        <v>5</v>
      </c>
      <c r="D7" s="7" t="s">
        <v>17</v>
      </c>
      <c r="E7" s="7" t="s">
        <v>18</v>
      </c>
      <c r="F7" s="8">
        <v>0.5</v>
      </c>
      <c r="G7" s="8">
        <v>0.6</v>
      </c>
    </row>
    <row r="8" spans="1:7">
      <c r="A8" s="7"/>
      <c r="B8" s="7"/>
      <c r="C8" s="7"/>
      <c r="D8" s="7"/>
      <c r="E8" s="7" t="s">
        <v>19</v>
      </c>
      <c r="F8" s="8">
        <v>0.3</v>
      </c>
      <c r="G8" s="8">
        <v>0.7</v>
      </c>
    </row>
    <row r="9" spans="1:7">
      <c r="A9" s="7"/>
      <c r="B9" s="7"/>
      <c r="C9" s="7"/>
      <c r="D9" s="7"/>
      <c r="E9" s="7" t="s">
        <v>20</v>
      </c>
      <c r="F9" s="8">
        <v>0.2</v>
      </c>
      <c r="G9" s="8">
        <v>1</v>
      </c>
    </row>
    <row r="10" spans="1:7">
      <c r="A10" s="7" t="s">
        <v>21</v>
      </c>
      <c r="B10" s="7" t="s">
        <v>10</v>
      </c>
      <c r="C10" s="7">
        <v>7</v>
      </c>
      <c r="D10" s="7" t="s">
        <v>22</v>
      </c>
      <c r="E10" s="7" t="s">
        <v>23</v>
      </c>
      <c r="F10" s="7" t="s">
        <v>24</v>
      </c>
      <c r="G10" s="7"/>
    </row>
    <row r="11" spans="1:7">
      <c r="A11" s="5" t="s">
        <v>25</v>
      </c>
      <c r="B11" s="6"/>
      <c r="C11" s="6"/>
      <c r="D11" s="6"/>
      <c r="E11" s="6"/>
      <c r="F11" s="6"/>
      <c r="G11" s="6"/>
    </row>
    <row r="12" spans="1:7">
      <c r="A12" s="7" t="s">
        <v>26</v>
      </c>
      <c r="B12" s="7" t="s">
        <v>10</v>
      </c>
      <c r="C12" s="7">
        <v>2.2000000000000002</v>
      </c>
      <c r="D12" s="7" t="s">
        <v>11</v>
      </c>
      <c r="E12" s="7" t="s">
        <v>12</v>
      </c>
      <c r="F12" s="8">
        <v>0.1</v>
      </c>
      <c r="G12" s="7"/>
    </row>
    <row r="13" spans="1:7">
      <c r="A13" s="7"/>
      <c r="B13" s="7"/>
      <c r="C13" s="7"/>
      <c r="D13" s="7" t="s">
        <v>11</v>
      </c>
      <c r="E13" s="7" t="s">
        <v>27</v>
      </c>
      <c r="F13" s="8">
        <v>0.1</v>
      </c>
      <c r="G13" s="7" t="s">
        <v>28</v>
      </c>
    </row>
    <row r="14" spans="1:7">
      <c r="A14" s="7" t="s">
        <v>29</v>
      </c>
      <c r="B14" s="7" t="s">
        <v>10</v>
      </c>
      <c r="C14" s="7">
        <v>0.8</v>
      </c>
      <c r="D14" s="7" t="s">
        <v>11</v>
      </c>
      <c r="E14" s="7" t="s">
        <v>30</v>
      </c>
      <c r="F14" s="8">
        <v>0.1</v>
      </c>
      <c r="G14" s="7"/>
    </row>
    <row r="15" spans="1:7">
      <c r="A15" s="7"/>
      <c r="B15" s="7"/>
      <c r="C15" s="7"/>
      <c r="D15" s="7" t="s">
        <v>11</v>
      </c>
      <c r="E15" s="7" t="s">
        <v>12</v>
      </c>
      <c r="F15" s="8">
        <v>0.1</v>
      </c>
      <c r="G15" s="7"/>
    </row>
    <row r="16" spans="1:7">
      <c r="A16" s="7" t="s">
        <v>31</v>
      </c>
      <c r="B16" s="7" t="s">
        <v>10</v>
      </c>
      <c r="C16" s="7">
        <v>1.4</v>
      </c>
      <c r="D16" s="7" t="s">
        <v>11</v>
      </c>
      <c r="E16" s="7" t="s">
        <v>12</v>
      </c>
      <c r="F16" s="8">
        <v>0.1</v>
      </c>
      <c r="G16" s="7"/>
    </row>
    <row r="17" spans="1:7">
      <c r="A17" s="7"/>
      <c r="B17" s="7"/>
      <c r="C17" s="7"/>
      <c r="D17" s="7" t="s">
        <v>11</v>
      </c>
      <c r="E17" s="7" t="s">
        <v>14</v>
      </c>
      <c r="F17" s="8">
        <v>0.05</v>
      </c>
      <c r="G17" s="7"/>
    </row>
    <row r="18" spans="1:7">
      <c r="A18" s="7" t="s">
        <v>32</v>
      </c>
      <c r="B18" s="7" t="s">
        <v>10</v>
      </c>
      <c r="C18" s="7">
        <v>1.2</v>
      </c>
      <c r="D18" s="7" t="s">
        <v>11</v>
      </c>
      <c r="E18" s="7" t="s">
        <v>12</v>
      </c>
      <c r="F18" s="8">
        <v>0.1</v>
      </c>
      <c r="G18" s="7"/>
    </row>
    <row r="19" spans="1:7">
      <c r="A19" s="7" t="s">
        <v>33</v>
      </c>
      <c r="B19" s="7" t="s">
        <v>10</v>
      </c>
      <c r="C19" s="7">
        <v>3</v>
      </c>
      <c r="D19" s="7" t="s">
        <v>17</v>
      </c>
      <c r="E19" s="7" t="s">
        <v>18</v>
      </c>
      <c r="F19" s="8">
        <v>0.4</v>
      </c>
      <c r="G19" s="8">
        <v>0.6</v>
      </c>
    </row>
    <row r="20" spans="1:7">
      <c r="A20" s="7"/>
      <c r="B20" s="7"/>
      <c r="C20" s="7"/>
      <c r="D20" s="7"/>
      <c r="E20" s="7" t="s">
        <v>34</v>
      </c>
      <c r="F20" s="8">
        <v>0.4</v>
      </c>
      <c r="G20" s="8">
        <v>0.75</v>
      </c>
    </row>
    <row r="21" spans="1:7">
      <c r="A21" s="7"/>
      <c r="B21" s="7"/>
      <c r="C21" s="7"/>
      <c r="D21" s="7"/>
      <c r="E21" s="7" t="s">
        <v>20</v>
      </c>
      <c r="F21" s="8">
        <v>0.2</v>
      </c>
      <c r="G21" s="8">
        <v>1</v>
      </c>
    </row>
    <row r="22" spans="1:7">
      <c r="A22" s="7" t="s">
        <v>35</v>
      </c>
      <c r="B22" s="7" t="s">
        <v>10</v>
      </c>
      <c r="C22" s="7">
        <v>0.9</v>
      </c>
      <c r="D22" s="7" t="s">
        <v>17</v>
      </c>
      <c r="E22" s="7" t="s">
        <v>36</v>
      </c>
      <c r="F22" s="7">
        <v>0.2</v>
      </c>
      <c r="G22" s="7"/>
    </row>
    <row r="23" spans="1:7">
      <c r="A23" s="7" t="s">
        <v>37</v>
      </c>
      <c r="B23" s="7" t="s">
        <v>10</v>
      </c>
      <c r="C23" s="7">
        <v>1.26</v>
      </c>
      <c r="D23" s="7"/>
      <c r="E23" s="7" t="s">
        <v>38</v>
      </c>
      <c r="F23" s="7"/>
      <c r="G23" s="7"/>
    </row>
    <row r="24" spans="1:7">
      <c r="A24" s="7" t="s">
        <v>39</v>
      </c>
      <c r="B24" s="7" t="s">
        <v>40</v>
      </c>
      <c r="C24" s="7">
        <v>0.5</v>
      </c>
      <c r="D24" s="7"/>
      <c r="E24" s="7" t="s">
        <v>38</v>
      </c>
      <c r="F24" s="7"/>
      <c r="G24" s="7"/>
    </row>
    <row r="25" spans="1:7">
      <c r="A25" s="5" t="s">
        <v>41</v>
      </c>
      <c r="B25" s="6"/>
      <c r="C25" s="6"/>
      <c r="D25" s="6"/>
      <c r="E25" s="6"/>
      <c r="F25" s="6"/>
      <c r="G25" s="6"/>
    </row>
    <row r="26" spans="1:7">
      <c r="A26" s="7" t="s">
        <v>42</v>
      </c>
      <c r="B26" s="7" t="s">
        <v>43</v>
      </c>
      <c r="C26" s="7">
        <v>28000</v>
      </c>
      <c r="D26" s="7"/>
      <c r="E26" s="7"/>
      <c r="F26" s="7"/>
      <c r="G26" s="7"/>
    </row>
    <row r="27" spans="1:7">
      <c r="A27" s="7" t="s">
        <v>44</v>
      </c>
      <c r="B27" s="7" t="s">
        <v>43</v>
      </c>
      <c r="C27" s="7">
        <v>20000</v>
      </c>
      <c r="D27" s="7"/>
      <c r="E27" s="7"/>
      <c r="F27" s="7"/>
      <c r="G27" s="7"/>
    </row>
    <row r="28" spans="1:7">
      <c r="A28" s="7" t="s">
        <v>45</v>
      </c>
      <c r="B28" s="7" t="s">
        <v>46</v>
      </c>
      <c r="C28" s="7">
        <v>0.36</v>
      </c>
      <c r="D28" s="7"/>
      <c r="E28" s="7"/>
      <c r="F28" s="7"/>
      <c r="G28" s="7"/>
    </row>
    <row r="29" spans="1:7">
      <c r="A29" s="7" t="s">
        <v>47</v>
      </c>
      <c r="B29" s="7" t="s">
        <v>46</v>
      </c>
      <c r="C29" s="7">
        <v>0.6</v>
      </c>
      <c r="D29" s="7"/>
      <c r="E29" s="7"/>
      <c r="F29" s="7"/>
      <c r="G29" s="7"/>
    </row>
    <row r="30" spans="1:7">
      <c r="A30" s="7" t="s">
        <v>48</v>
      </c>
      <c r="B30" s="7" t="s">
        <v>46</v>
      </c>
      <c r="C30" s="7">
        <v>0.77</v>
      </c>
      <c r="D30" s="7" t="s">
        <v>11</v>
      </c>
      <c r="E30" s="7" t="s">
        <v>12</v>
      </c>
      <c r="F30" s="8">
        <v>0.1</v>
      </c>
      <c r="G30" s="7"/>
    </row>
    <row r="31" spans="1:7">
      <c r="A31" s="7" t="s">
        <v>49</v>
      </c>
      <c r="B31" s="7" t="s">
        <v>43</v>
      </c>
      <c r="C31" s="7">
        <v>7000</v>
      </c>
      <c r="D31" s="7"/>
      <c r="E31" s="7"/>
      <c r="F31" s="7"/>
      <c r="G31" s="7"/>
    </row>
    <row r="32" spans="1:7">
      <c r="A32" s="7" t="s">
        <v>50</v>
      </c>
      <c r="B32" s="7" t="s">
        <v>46</v>
      </c>
      <c r="C32" s="7">
        <v>2.1</v>
      </c>
      <c r="D32" s="7" t="s">
        <v>11</v>
      </c>
      <c r="E32" s="7" t="s">
        <v>12</v>
      </c>
      <c r="F32" s="8">
        <v>0.05</v>
      </c>
      <c r="G32" s="7" t="s">
        <v>51</v>
      </c>
    </row>
    <row r="33" spans="1:7">
      <c r="A33" s="7" t="s">
        <v>52</v>
      </c>
      <c r="B33" s="7" t="s">
        <v>43</v>
      </c>
      <c r="C33" s="7">
        <v>1680</v>
      </c>
      <c r="D33" s="7"/>
      <c r="E33" s="7"/>
      <c r="F33" s="7"/>
      <c r="G33" s="7"/>
    </row>
    <row r="34" spans="1:7">
      <c r="A34" s="7" t="s">
        <v>53</v>
      </c>
      <c r="B34" s="7" t="s">
        <v>46</v>
      </c>
      <c r="C34" s="7">
        <v>0.33</v>
      </c>
      <c r="D34" s="7" t="s">
        <v>11</v>
      </c>
      <c r="E34" s="7" t="s">
        <v>12</v>
      </c>
      <c r="F34" s="8">
        <v>0.1</v>
      </c>
      <c r="G34" s="7"/>
    </row>
    <row r="35" spans="1:7">
      <c r="A35" s="7" t="s">
        <v>54</v>
      </c>
      <c r="B35" s="7" t="s">
        <v>46</v>
      </c>
      <c r="C35" s="7">
        <v>0.04</v>
      </c>
      <c r="D35" s="7"/>
      <c r="E35" s="7" t="s">
        <v>38</v>
      </c>
      <c r="F35" s="7"/>
      <c r="G35" s="7"/>
    </row>
    <row r="36" spans="1:7">
      <c r="A36" s="7" t="s">
        <v>55</v>
      </c>
      <c r="B36" s="7" t="s">
        <v>46</v>
      </c>
      <c r="C36" s="7">
        <v>0.08</v>
      </c>
      <c r="D36" s="7"/>
      <c r="E36" s="7" t="s">
        <v>38</v>
      </c>
      <c r="F36" s="7"/>
      <c r="G36" s="7"/>
    </row>
    <row r="37" spans="1:7">
      <c r="A37" s="5" t="s">
        <v>56</v>
      </c>
      <c r="B37" s="6"/>
      <c r="C37" s="6"/>
      <c r="D37" s="6"/>
      <c r="E37" s="6"/>
      <c r="F37" s="6"/>
      <c r="G37" s="6"/>
    </row>
    <row r="38" spans="1:7">
      <c r="A38" s="7" t="s">
        <v>57</v>
      </c>
      <c r="B38" s="7" t="s">
        <v>58</v>
      </c>
      <c r="C38" s="8">
        <v>0.15</v>
      </c>
      <c r="D38" s="7" t="s">
        <v>59</v>
      </c>
      <c r="E38" s="7" t="s">
        <v>60</v>
      </c>
      <c r="F38" s="7"/>
      <c r="G38" s="7"/>
    </row>
    <row r="39" spans="1:7">
      <c r="A39" s="7" t="s">
        <v>61</v>
      </c>
      <c r="B39" s="7" t="s">
        <v>58</v>
      </c>
      <c r="C39" s="8">
        <v>0.08</v>
      </c>
      <c r="D39" s="7"/>
      <c r="E39" s="7"/>
      <c r="F39" s="7"/>
      <c r="G39"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topLeftCell="A6" workbookViewId="0">
      <selection activeCell="G35" sqref="G35"/>
    </sheetView>
  </sheetViews>
  <sheetFormatPr defaultRowHeight="15"/>
  <cols>
    <col min="1" max="1" width="45" customWidth="1"/>
    <col min="2" max="2" width="15" customWidth="1"/>
    <col min="3" max="11" width="13" customWidth="1"/>
  </cols>
  <sheetData>
    <row r="1" spans="1:11">
      <c r="A1" s="9" t="s">
        <v>62</v>
      </c>
      <c r="B1" s="9" t="s">
        <v>63</v>
      </c>
      <c r="C1" s="9" t="s">
        <v>64</v>
      </c>
      <c r="D1" s="9" t="s">
        <v>65</v>
      </c>
      <c r="E1" s="9" t="s">
        <v>66</v>
      </c>
      <c r="F1" s="9" t="s">
        <v>67</v>
      </c>
      <c r="G1" s="9" t="s">
        <v>68</v>
      </c>
      <c r="H1" s="9" t="s">
        <v>69</v>
      </c>
      <c r="I1" s="9" t="s">
        <v>70</v>
      </c>
      <c r="J1" s="9" t="s">
        <v>71</v>
      </c>
      <c r="K1" s="9" t="s">
        <v>72</v>
      </c>
    </row>
    <row r="2" spans="1:11">
      <c r="A2" s="14" t="s">
        <v>73</v>
      </c>
      <c r="B2" s="14" t="s">
        <v>40</v>
      </c>
      <c r="C2" s="15"/>
      <c r="D2" s="15"/>
      <c r="E2" s="15"/>
      <c r="F2" s="15"/>
      <c r="G2" s="15"/>
      <c r="H2" s="15"/>
      <c r="I2" s="15"/>
      <c r="J2" s="15"/>
      <c r="K2" s="15"/>
    </row>
    <row r="3" spans="1:11">
      <c r="A3" s="7" t="s">
        <v>74</v>
      </c>
      <c r="B3" s="7" t="s">
        <v>10</v>
      </c>
      <c r="C3" s="16">
        <v>0</v>
      </c>
      <c r="D3" s="16">
        <f>('Bảng thông số'!$C$26-'Bảng thông số'!$C$27)*('Bảng thông số'!$C$28+'Bảng thông số'!$C$29)/2/1000</f>
        <v>3.84</v>
      </c>
      <c r="E3" s="16">
        <f>('Bảng thông số'!$C$26-'Bảng thông số'!$C$27)*('Bảng thông số'!$C$28+'Bảng thông số'!$C$29)/2/1000</f>
        <v>3.84</v>
      </c>
      <c r="F3" s="16">
        <f>('Bảng thông số'!$C$26-'Bảng thông số'!$C$27)*('Bảng thông số'!$C$28+'Bảng thông số'!$C$29)/2/1000</f>
        <v>3.84</v>
      </c>
      <c r="G3" s="16">
        <f>('Bảng thông số'!$C$26-'Bảng thông số'!$C$27)*('Bảng thông số'!$C$28+'Bảng thông số'!$C$29)/2/1000</f>
        <v>3.84</v>
      </c>
      <c r="H3" s="16">
        <f>('Bảng thông số'!$C$26-'Bảng thông số'!$C$27)*('Bảng thông số'!$C$28+'Bảng thông số'!$C$29)/2/1000</f>
        <v>3.84</v>
      </c>
      <c r="I3" s="16">
        <f>('Bảng thông số'!$C$26-'Bảng thông số'!$C$27)*('Bảng thông số'!$C$28+'Bảng thông số'!$C$29)/2/1000</f>
        <v>3.84</v>
      </c>
      <c r="J3" s="16">
        <f>('Bảng thông số'!$C$26-'Bảng thông số'!$C$27)*('Bảng thông số'!$C$28+'Bảng thông số'!$C$29)/2/1000</f>
        <v>3.84</v>
      </c>
      <c r="K3" s="16">
        <f>('Bảng thông số'!$C$26-'Bảng thông số'!$C$27)*('Bảng thông số'!$C$28+'Bảng thông số'!$C$29)/2/1000</f>
        <v>3.84</v>
      </c>
    </row>
    <row r="4" spans="1:11">
      <c r="A4" s="7" t="s">
        <v>75</v>
      </c>
      <c r="B4" s="7" t="s">
        <v>10</v>
      </c>
      <c r="C4" s="16">
        <v>0</v>
      </c>
      <c r="D4" s="16">
        <f>SUM(D5:D7)</f>
        <v>8.4</v>
      </c>
      <c r="E4" s="16">
        <f>SUM(E5:E7)</f>
        <v>8.4</v>
      </c>
      <c r="F4" s="16">
        <f>SUM(F5:F7)</f>
        <v>8.4</v>
      </c>
      <c r="G4" s="16">
        <f>SUM(G5:G7)</f>
        <v>8.4</v>
      </c>
      <c r="H4" s="16">
        <f>SUM(H5:H7)</f>
        <v>8.4</v>
      </c>
      <c r="I4" s="16">
        <f>SUM(I5:I7)</f>
        <v>8.4</v>
      </c>
      <c r="J4" s="16">
        <f>SUM(J5:J7)</f>
        <v>8.4</v>
      </c>
      <c r="K4" s="16">
        <f>SUM(K5:K7)</f>
        <v>8.4</v>
      </c>
    </row>
    <row r="5" spans="1:11">
      <c r="A5" s="7" t="s">
        <v>76</v>
      </c>
      <c r="B5" s="7" t="s">
        <v>10</v>
      </c>
      <c r="C5" s="16">
        <v>0</v>
      </c>
      <c r="D5" s="16">
        <f>'Bảng thông số'!$C$27*('Bảng thông số'!$C$34/(1+'Bảng thông số'!$F$34))/1000</f>
        <v>6</v>
      </c>
      <c r="E5" s="16">
        <f>'Bảng thông số'!$C$27*('Bảng thông số'!$C$34/(1+'Bảng thông số'!$F$34))/1000</f>
        <v>6</v>
      </c>
      <c r="F5" s="16">
        <f>'Bảng thông số'!$C$27*('Bảng thông số'!$C$34/(1+'Bảng thông số'!$F$34))/1000</f>
        <v>6</v>
      </c>
      <c r="G5" s="16">
        <f>'Bảng thông số'!$C$27*('Bảng thông số'!$C$34/(1+'Bảng thông số'!$F$34))/1000</f>
        <v>6</v>
      </c>
      <c r="H5" s="16">
        <f>'Bảng thông số'!$C$27*('Bảng thông số'!$C$34/(1+'Bảng thông số'!$F$34))/1000</f>
        <v>6</v>
      </c>
      <c r="I5" s="16">
        <f>'Bảng thông số'!$C$27*('Bảng thông số'!$C$34/(1+'Bảng thông số'!$F$34))/1000</f>
        <v>6</v>
      </c>
      <c r="J5" s="16">
        <f>'Bảng thông số'!$C$27*('Bảng thông số'!$C$34/(1+'Bảng thông số'!$F$34))/1000</f>
        <v>6</v>
      </c>
      <c r="K5" s="16">
        <f>'Bảng thông số'!$C$27*('Bảng thông số'!$C$34/(1+'Bảng thông số'!$F$34))/1000</f>
        <v>6</v>
      </c>
    </row>
    <row r="6" spans="1:11">
      <c r="A6" s="7" t="s">
        <v>77</v>
      </c>
      <c r="B6" s="7" t="s">
        <v>10</v>
      </c>
      <c r="C6" s="16">
        <v>0</v>
      </c>
      <c r="D6" s="16">
        <f>'Bảng thông số'!$C$27*'Bảng thông số'!$C$35/1000</f>
        <v>0.8</v>
      </c>
      <c r="E6" s="16">
        <f>'Bảng thông số'!$C$27*'Bảng thông số'!$C$35/1000</f>
        <v>0.8</v>
      </c>
      <c r="F6" s="16">
        <f>'Bảng thông số'!$C$27*'Bảng thông số'!$C$35/1000</f>
        <v>0.8</v>
      </c>
      <c r="G6" s="16">
        <f>'Bảng thông số'!$C$27*'Bảng thông số'!$C$35/1000</f>
        <v>0.8</v>
      </c>
      <c r="H6" s="16">
        <f>'Bảng thông số'!$C$27*'Bảng thông số'!$C$35/1000</f>
        <v>0.8</v>
      </c>
      <c r="I6" s="16">
        <f>'Bảng thông số'!$C$27*'Bảng thông số'!$C$35/1000</f>
        <v>0.8</v>
      </c>
      <c r="J6" s="16">
        <f>'Bảng thông số'!$C$27*'Bảng thông số'!$C$35/1000</f>
        <v>0.8</v>
      </c>
      <c r="K6" s="16">
        <f>'Bảng thông số'!$C$27*'Bảng thông số'!$C$35/1000</f>
        <v>0.8</v>
      </c>
    </row>
    <row r="7" spans="1:11">
      <c r="A7" s="7" t="s">
        <v>78</v>
      </c>
      <c r="B7" s="7" t="s">
        <v>10</v>
      </c>
      <c r="C7" s="16">
        <v>0</v>
      </c>
      <c r="D7" s="16">
        <f>'Bảng thông số'!$C$27*'Bảng thông số'!$C$36/1000</f>
        <v>1.6</v>
      </c>
      <c r="E7" s="16">
        <f>'Bảng thông số'!$C$27*'Bảng thông số'!$C$36/1000</f>
        <v>1.6</v>
      </c>
      <c r="F7" s="16">
        <f>'Bảng thông số'!$C$27*'Bảng thông số'!$C$36/1000</f>
        <v>1.6</v>
      </c>
      <c r="G7" s="16">
        <f>'Bảng thông số'!$C$27*'Bảng thông số'!$C$36/1000</f>
        <v>1.6</v>
      </c>
      <c r="H7" s="16">
        <f>'Bảng thông số'!$C$27*'Bảng thông số'!$C$36/1000</f>
        <v>1.6</v>
      </c>
      <c r="I7" s="16">
        <f>'Bảng thông số'!$C$27*'Bảng thông số'!$C$36/1000</f>
        <v>1.6</v>
      </c>
      <c r="J7" s="16">
        <f>'Bảng thông số'!$C$27*'Bảng thông số'!$C$36/1000</f>
        <v>1.6</v>
      </c>
      <c r="K7" s="16">
        <f>'Bảng thông số'!$C$27*'Bảng thông số'!$C$36/1000</f>
        <v>1.6</v>
      </c>
    </row>
    <row r="8" spans="1:11">
      <c r="A8" s="7" t="s">
        <v>79</v>
      </c>
      <c r="B8" s="7" t="s">
        <v>10</v>
      </c>
      <c r="C8" s="16">
        <v>0</v>
      </c>
      <c r="D8" s="16">
        <f>SUM(D9:D10)</f>
        <v>8.26</v>
      </c>
      <c r="E8" s="16">
        <f>SUM(E9:E10)</f>
        <v>8.26</v>
      </c>
      <c r="F8" s="16">
        <f>SUM(F9:F10)</f>
        <v>8.26</v>
      </c>
      <c r="G8" s="16">
        <f>SUM(G9:G10)</f>
        <v>8.26</v>
      </c>
      <c r="H8" s="16">
        <f>SUM(H9:H10)</f>
        <v>8.26</v>
      </c>
      <c r="I8" s="16">
        <f>SUM(I9:I10)</f>
        <v>8.26</v>
      </c>
      <c r="J8" s="16">
        <f>SUM(J9:J10)</f>
        <v>8.26</v>
      </c>
      <c r="K8" s="16">
        <f>SUM(K9:K10)</f>
        <v>8.26</v>
      </c>
    </row>
    <row r="9" spans="1:11">
      <c r="A9" s="7" t="s">
        <v>80</v>
      </c>
      <c r="B9" s="7" t="s">
        <v>10</v>
      </c>
      <c r="C9" s="16">
        <v>0</v>
      </c>
      <c r="D9" s="16">
        <f>'Bảng thông số'!$C$31*('Bảng thông số'!$C$30/(1+'Bảng thông số'!$F$30))/1000</f>
        <v>4.9000000000000004</v>
      </c>
      <c r="E9" s="16">
        <f>'Bảng thông số'!$C$31*('Bảng thông số'!$C$30/(1+'Bảng thông số'!$F$30))/1000</f>
        <v>4.9000000000000004</v>
      </c>
      <c r="F9" s="16">
        <f>'Bảng thông số'!$C$31*('Bảng thông số'!$C$30/(1+'Bảng thông số'!$F$30))/1000</f>
        <v>4.9000000000000004</v>
      </c>
      <c r="G9" s="16">
        <f>'Bảng thông số'!$C$31*('Bảng thông số'!$C$30/(1+'Bảng thông số'!$F$30))/1000</f>
        <v>4.9000000000000004</v>
      </c>
      <c r="H9" s="16">
        <f>'Bảng thông số'!$C$31*('Bảng thông số'!$C$30/(1+'Bảng thông số'!$F$30))/1000</f>
        <v>4.9000000000000004</v>
      </c>
      <c r="I9" s="16">
        <f>'Bảng thông số'!$C$31*('Bảng thông số'!$C$30/(1+'Bảng thông số'!$F$30))/1000</f>
        <v>4.9000000000000004</v>
      </c>
      <c r="J9" s="16">
        <f>'Bảng thông số'!$C$31*('Bảng thông số'!$C$30/(1+'Bảng thông số'!$F$30))/1000</f>
        <v>4.9000000000000004</v>
      </c>
      <c r="K9" s="16">
        <f>'Bảng thông số'!$C$31*('Bảng thông số'!$C$30/(1+'Bảng thông số'!$F$30))/1000</f>
        <v>4.9000000000000004</v>
      </c>
    </row>
    <row r="10" spans="1:11">
      <c r="A10" s="7" t="s">
        <v>81</v>
      </c>
      <c r="B10" s="7" t="s">
        <v>10</v>
      </c>
      <c r="C10" s="16">
        <v>0</v>
      </c>
      <c r="D10" s="16">
        <f>'Bảng thông số'!$C$33*('Bảng thông số'!$C$32/(1+'Bảng thông số'!$F$32))/1000</f>
        <v>3.36</v>
      </c>
      <c r="E10" s="16">
        <f>'Bảng thông số'!$C$33*('Bảng thông số'!$C$32/(1+'Bảng thông số'!$F$32))/1000</f>
        <v>3.36</v>
      </c>
      <c r="F10" s="16">
        <f>'Bảng thông số'!$C$33*('Bảng thông số'!$C$32/(1+'Bảng thông số'!$F$32))/1000</f>
        <v>3.36</v>
      </c>
      <c r="G10" s="16">
        <f>'Bảng thông số'!$C$33*('Bảng thông số'!$C$32/(1+'Bảng thông số'!$F$32))/1000</f>
        <v>3.36</v>
      </c>
      <c r="H10" s="16">
        <f>'Bảng thông số'!$C$33*('Bảng thông số'!$C$32/(1+'Bảng thông số'!$F$32))/1000</f>
        <v>3.36</v>
      </c>
      <c r="I10" s="16">
        <f>'Bảng thông số'!$C$33*('Bảng thông số'!$C$32/(1+'Bảng thông số'!$F$32))/1000</f>
        <v>3.36</v>
      </c>
      <c r="J10" s="16">
        <f>'Bảng thông số'!$C$33*('Bảng thông số'!$C$32/(1+'Bảng thông số'!$F$32))/1000</f>
        <v>3.36</v>
      </c>
      <c r="K10" s="16">
        <f>'Bảng thông số'!$C$33*('Bảng thông số'!$C$32/(1+'Bảng thông số'!$F$32))/1000</f>
        <v>3.36</v>
      </c>
    </row>
    <row r="11" spans="1:11">
      <c r="A11" s="7" t="s">
        <v>82</v>
      </c>
      <c r="B11" s="7" t="s">
        <v>10</v>
      </c>
      <c r="C11" s="16">
        <v>0</v>
      </c>
      <c r="D11" s="16">
        <v>0</v>
      </c>
      <c r="E11" s="16">
        <v>0</v>
      </c>
      <c r="F11" s="16">
        <v>0</v>
      </c>
      <c r="G11" s="16">
        <v>0</v>
      </c>
      <c r="H11" s="16">
        <v>0</v>
      </c>
      <c r="I11" s="16">
        <v>0</v>
      </c>
      <c r="J11" s="16">
        <v>0</v>
      </c>
      <c r="K11" s="16">
        <f>'Bảng thông số'!$C$38*('Bảng thông số'!$C$3/(1+'Bảng thông số'!$F$3) + 'Bảng thông số'!$C$4/((1+'Bảng thông số'!$F$4)*(1+'Bảng thông số'!$F$5)) + 'Bảng thông số'!$C$6/(1+'Bảng thông số'!$F$6))</f>
        <v>8.5262626262626249</v>
      </c>
    </row>
    <row r="12" spans="1:11">
      <c r="A12" s="12" t="s">
        <v>83</v>
      </c>
      <c r="B12" s="12" t="s">
        <v>10</v>
      </c>
      <c r="C12" s="13">
        <f>SUM(C3:C11)</f>
        <v>0</v>
      </c>
      <c r="D12" s="13">
        <f>SUM(D3:D11)</f>
        <v>37.160000000000004</v>
      </c>
      <c r="E12" s="13">
        <f>SUM(E3:E11)</f>
        <v>37.160000000000004</v>
      </c>
      <c r="F12" s="13">
        <f>SUM(F3:F11)</f>
        <v>37.160000000000004</v>
      </c>
      <c r="G12" s="13">
        <f>SUM(G3:G11)</f>
        <v>37.160000000000004</v>
      </c>
      <c r="H12" s="13">
        <f>SUM(H3:H11)</f>
        <v>37.160000000000004</v>
      </c>
      <c r="I12" s="13">
        <f>SUM(I3:I11)</f>
        <v>37.160000000000004</v>
      </c>
      <c r="J12" s="13">
        <f>SUM(J3:J11)</f>
        <v>37.160000000000004</v>
      </c>
      <c r="K12" s="13">
        <f>SUM(K3:K11)</f>
        <v>45.686262626262632</v>
      </c>
    </row>
    <row r="13" spans="1:11">
      <c r="A13" s="14" t="s">
        <v>84</v>
      </c>
      <c r="B13" s="14" t="s">
        <v>40</v>
      </c>
      <c r="C13" s="15"/>
      <c r="D13" s="15"/>
      <c r="E13" s="15"/>
      <c r="F13" s="15"/>
      <c r="G13" s="15"/>
      <c r="H13" s="15"/>
      <c r="I13" s="15"/>
      <c r="J13" s="15"/>
      <c r="K13" s="15"/>
    </row>
    <row r="14" spans="1:11">
      <c r="A14" s="7" t="s">
        <v>8</v>
      </c>
      <c r="B14" s="7" t="s">
        <v>10</v>
      </c>
      <c r="C14" s="16">
        <f>SUM(C15:C19)</f>
        <v>60.391750841750834</v>
      </c>
      <c r="D14" s="16">
        <v>0</v>
      </c>
      <c r="E14" s="16">
        <v>0</v>
      </c>
      <c r="F14" s="16">
        <v>0</v>
      </c>
      <c r="G14" s="16">
        <v>0</v>
      </c>
      <c r="H14" s="16">
        <v>0</v>
      </c>
      <c r="I14" s="16">
        <v>0</v>
      </c>
      <c r="J14" s="16">
        <v>0</v>
      </c>
      <c r="K14" s="16">
        <v>0</v>
      </c>
    </row>
    <row r="15" spans="1:11">
      <c r="A15" s="7" t="s">
        <v>85</v>
      </c>
      <c r="B15" s="7" t="s">
        <v>10</v>
      </c>
      <c r="C15" s="16">
        <f>'Bảng thông số'!$C$3/(1+'Bảng thông số'!$F$3)</f>
        <v>27.27272727272727</v>
      </c>
      <c r="D15" s="16">
        <v>0</v>
      </c>
      <c r="E15" s="16">
        <v>0</v>
      </c>
      <c r="F15" s="16">
        <v>0</v>
      </c>
      <c r="G15" s="16">
        <v>0</v>
      </c>
      <c r="H15" s="16">
        <v>0</v>
      </c>
      <c r="I15" s="16">
        <v>0</v>
      </c>
      <c r="J15" s="16">
        <v>0</v>
      </c>
      <c r="K15" s="16">
        <v>0</v>
      </c>
    </row>
    <row r="16" spans="1:11">
      <c r="A16" s="7" t="s">
        <v>86</v>
      </c>
      <c r="B16" s="7" t="s">
        <v>10</v>
      </c>
      <c r="C16" s="16">
        <f>'Bảng thông số'!$C$4/((1+'Bảng thông số'!$F$4)*(1+'Bảng thông số'!$F$5))</f>
        <v>23.569023569023567</v>
      </c>
      <c r="D16" s="16">
        <v>0</v>
      </c>
      <c r="E16" s="16">
        <v>0</v>
      </c>
      <c r="F16" s="16">
        <v>0</v>
      </c>
      <c r="G16" s="16">
        <v>0</v>
      </c>
      <c r="H16" s="16">
        <v>0</v>
      </c>
      <c r="I16" s="16">
        <v>0</v>
      </c>
      <c r="J16" s="16">
        <v>0</v>
      </c>
      <c r="K16" s="16">
        <v>0</v>
      </c>
    </row>
    <row r="17" spans="1:11">
      <c r="A17" s="7" t="s">
        <v>87</v>
      </c>
      <c r="B17" s="7" t="s">
        <v>10</v>
      </c>
      <c r="C17" s="16">
        <f>'Bảng thông số'!$C$6/(1+'Bảng thông số'!$F$6)</f>
        <v>5.9999999999999991</v>
      </c>
      <c r="D17" s="16">
        <v>0</v>
      </c>
      <c r="E17" s="16">
        <v>0</v>
      </c>
      <c r="F17" s="16">
        <v>0</v>
      </c>
      <c r="G17" s="16">
        <v>0</v>
      </c>
      <c r="H17" s="16">
        <v>0</v>
      </c>
      <c r="I17" s="16">
        <v>0</v>
      </c>
      <c r="J17" s="16">
        <v>0</v>
      </c>
      <c r="K17" s="16">
        <v>0</v>
      </c>
    </row>
    <row r="18" spans="1:11">
      <c r="A18" s="7" t="s">
        <v>88</v>
      </c>
      <c r="B18" s="7" t="s">
        <v>10</v>
      </c>
      <c r="C18" s="16">
        <f>'Bảng thông số'!$C$7*('Bảng thông số'!$F$7*'Bảng thông số'!$G$7 + 'Bảng thông số'!$F$8*'Bảng thông số'!$G$8 + 'Bảng thông số'!$F$9*'Bảng thông số'!$G$9)</f>
        <v>3.55</v>
      </c>
      <c r="D18" s="16">
        <v>0</v>
      </c>
      <c r="E18" s="16">
        <v>0</v>
      </c>
      <c r="F18" s="16">
        <v>0</v>
      </c>
      <c r="G18" s="16">
        <v>0</v>
      </c>
      <c r="H18" s="16">
        <v>0</v>
      </c>
      <c r="I18" s="16">
        <v>0</v>
      </c>
      <c r="J18" s="16">
        <v>0</v>
      </c>
      <c r="K18" s="16">
        <v>0</v>
      </c>
    </row>
    <row r="19" spans="1:11">
      <c r="A19" s="7" t="s">
        <v>89</v>
      </c>
      <c r="B19" s="7" t="s">
        <v>10</v>
      </c>
      <c r="C19" s="16">
        <f>0</f>
        <v>0</v>
      </c>
      <c r="D19" s="16">
        <v>0</v>
      </c>
      <c r="E19" s="16">
        <v>0</v>
      </c>
      <c r="F19" s="16">
        <v>0</v>
      </c>
      <c r="G19" s="16">
        <v>0</v>
      </c>
      <c r="H19" s="16">
        <v>0</v>
      </c>
      <c r="I19" s="16">
        <v>0</v>
      </c>
      <c r="J19" s="16">
        <v>0</v>
      </c>
      <c r="K19" s="16">
        <v>0</v>
      </c>
    </row>
    <row r="20" spans="1:11">
      <c r="A20" s="7" t="s">
        <v>25</v>
      </c>
      <c r="B20" s="7" t="s">
        <v>10</v>
      </c>
      <c r="C20" s="16">
        <v>0</v>
      </c>
      <c r="D20" s="16">
        <f>SUM(D21:D28)</f>
        <v>9.6092929292929288</v>
      </c>
      <c r="E20" s="16">
        <f>SUM(E21:E28)</f>
        <v>9.6092929292929288</v>
      </c>
      <c r="F20" s="16">
        <f>SUM(F21:F28)</f>
        <v>9.6092929292929288</v>
      </c>
      <c r="G20" s="16">
        <f>SUM(G21:G28)</f>
        <v>9.6092929292929288</v>
      </c>
      <c r="H20" s="16">
        <f>SUM(H21:H28)</f>
        <v>9.6092929292929288</v>
      </c>
      <c r="I20" s="16">
        <f>SUM(I21:I28)</f>
        <v>9.6092929292929288</v>
      </c>
      <c r="J20" s="16">
        <f>SUM(J21:J28)</f>
        <v>9.6092929292929288</v>
      </c>
      <c r="K20" s="16">
        <f>SUM(K21:K28)</f>
        <v>9.6092929292929288</v>
      </c>
    </row>
    <row r="21" spans="1:11">
      <c r="A21" s="7" t="s">
        <v>90</v>
      </c>
      <c r="B21" s="7" t="s">
        <v>10</v>
      </c>
      <c r="C21" s="16">
        <v>0</v>
      </c>
      <c r="D21" s="16">
        <f>'Bảng thông số'!$C$12/((1+'Bảng thông số'!$F$12)*(1+'Bảng thông số'!$F$13))</f>
        <v>1.8181818181818181</v>
      </c>
      <c r="E21" s="16">
        <f>'Bảng thông số'!$C$12/((1+'Bảng thông số'!$F$12)*(1+'Bảng thông số'!$F$13))</f>
        <v>1.8181818181818181</v>
      </c>
      <c r="F21" s="16">
        <f>'Bảng thông số'!$C$12/((1+'Bảng thông số'!$F$12)*(1+'Bảng thông số'!$F$13))</f>
        <v>1.8181818181818181</v>
      </c>
      <c r="G21" s="16">
        <f>'Bảng thông số'!$C$12/((1+'Bảng thông số'!$F$12)*(1+'Bảng thông số'!$F$13))</f>
        <v>1.8181818181818181</v>
      </c>
      <c r="H21" s="16">
        <f>'Bảng thông số'!$C$12/((1+'Bảng thông số'!$F$12)*(1+'Bảng thông số'!$F$13))</f>
        <v>1.8181818181818181</v>
      </c>
      <c r="I21" s="16">
        <f>'Bảng thông số'!$C$12/((1+'Bảng thông số'!$F$12)*(1+'Bảng thông số'!$F$13))</f>
        <v>1.8181818181818181</v>
      </c>
      <c r="J21" s="16">
        <f>'Bảng thông số'!$C$12/((1+'Bảng thông số'!$F$12)*(1+'Bảng thông số'!$F$13))</f>
        <v>1.8181818181818181</v>
      </c>
      <c r="K21" s="16">
        <f>'Bảng thông số'!$C$12/((1+'Bảng thông số'!$F$12)*(1+'Bảng thông số'!$F$13))</f>
        <v>1.8181818181818181</v>
      </c>
    </row>
    <row r="22" spans="1:11">
      <c r="A22" s="7" t="s">
        <v>91</v>
      </c>
      <c r="B22" s="7" t="s">
        <v>10</v>
      </c>
      <c r="C22" s="16">
        <v>0</v>
      </c>
      <c r="D22" s="16">
        <f>'Bảng thông số'!$C$14/((1-'Bảng thông số'!$F$14)*(1+'Bảng thông số'!$F$15))</f>
        <v>0.80808080808080807</v>
      </c>
      <c r="E22" s="16">
        <f>'Bảng thông số'!$C$14/((1-'Bảng thông số'!$F$14)*(1+'Bảng thông số'!$F$15))</f>
        <v>0.80808080808080807</v>
      </c>
      <c r="F22" s="16">
        <f>'Bảng thông số'!$C$14/((1-'Bảng thông số'!$F$14)*(1+'Bảng thông số'!$F$15))</f>
        <v>0.80808080808080807</v>
      </c>
      <c r="G22" s="16">
        <f>'Bảng thông số'!$C$14/((1-'Bảng thông số'!$F$14)*(1+'Bảng thông số'!$F$15))</f>
        <v>0.80808080808080807</v>
      </c>
      <c r="H22" s="16">
        <f>'Bảng thông số'!$C$14/((1-'Bảng thông số'!$F$14)*(1+'Bảng thông số'!$F$15))</f>
        <v>0.80808080808080807</v>
      </c>
      <c r="I22" s="16">
        <f>'Bảng thông số'!$C$14/((1-'Bảng thông số'!$F$14)*(1+'Bảng thông số'!$F$15))</f>
        <v>0.80808080808080807</v>
      </c>
      <c r="J22" s="16">
        <f>'Bảng thông số'!$C$14/((1-'Bảng thông số'!$F$14)*(1+'Bảng thông số'!$F$15))</f>
        <v>0.80808080808080807</v>
      </c>
      <c r="K22" s="16">
        <f>'Bảng thông số'!$C$14/((1-'Bảng thông số'!$F$14)*(1+'Bảng thông số'!$F$15))</f>
        <v>0.80808080808080807</v>
      </c>
    </row>
    <row r="23" spans="1:11">
      <c r="A23" s="7" t="s">
        <v>92</v>
      </c>
      <c r="B23" s="7" t="s">
        <v>10</v>
      </c>
      <c r="C23" s="16">
        <v>0</v>
      </c>
      <c r="D23" s="16">
        <f>'Bảng thông số'!$C$16/((1+'Bảng thông số'!$F$16)*(1+'Bảng thông số'!$F$17))</f>
        <v>1.2121212121212117</v>
      </c>
      <c r="E23" s="16">
        <f>'Bảng thông số'!$C$16/((1+'Bảng thông số'!$F$16)*(1+'Bảng thông số'!$F$17))</f>
        <v>1.2121212121212117</v>
      </c>
      <c r="F23" s="16">
        <f>'Bảng thông số'!$C$16/((1+'Bảng thông số'!$F$16)*(1+'Bảng thông số'!$F$17))</f>
        <v>1.2121212121212117</v>
      </c>
      <c r="G23" s="16">
        <f>'Bảng thông số'!$C$16/((1+'Bảng thông số'!$F$16)*(1+'Bảng thông số'!$F$17))</f>
        <v>1.2121212121212117</v>
      </c>
      <c r="H23" s="16">
        <f>'Bảng thông số'!$C$16/((1+'Bảng thông số'!$F$16)*(1+'Bảng thông số'!$F$17))</f>
        <v>1.2121212121212117</v>
      </c>
      <c r="I23" s="16">
        <f>'Bảng thông số'!$C$16/((1+'Bảng thông số'!$F$16)*(1+'Bảng thông số'!$F$17))</f>
        <v>1.2121212121212117</v>
      </c>
      <c r="J23" s="16">
        <f>'Bảng thông số'!$C$16/((1+'Bảng thông số'!$F$16)*(1+'Bảng thông số'!$F$17))</f>
        <v>1.2121212121212117</v>
      </c>
      <c r="K23" s="16">
        <f>'Bảng thông số'!$C$16/((1+'Bảng thông số'!$F$16)*(1+'Bảng thông số'!$F$17))</f>
        <v>1.2121212121212117</v>
      </c>
    </row>
    <row r="24" spans="1:11">
      <c r="A24" s="7" t="s">
        <v>93</v>
      </c>
      <c r="B24" s="7" t="s">
        <v>10</v>
      </c>
      <c r="C24" s="16">
        <v>0</v>
      </c>
      <c r="D24" s="16">
        <f>'Bảng thông số'!$C$18/(1+'Bảng thông số'!$F$18)</f>
        <v>1.0909090909090908</v>
      </c>
      <c r="E24" s="16">
        <f>'Bảng thông số'!$C$18/(1+'Bảng thông số'!$F$18)</f>
        <v>1.0909090909090908</v>
      </c>
      <c r="F24" s="16">
        <f>'Bảng thông số'!$C$18/(1+'Bảng thông số'!$F$18)</f>
        <v>1.0909090909090908</v>
      </c>
      <c r="G24" s="16">
        <f>'Bảng thông số'!$C$18/(1+'Bảng thông số'!$F$18)</f>
        <v>1.0909090909090908</v>
      </c>
      <c r="H24" s="16">
        <f>'Bảng thông số'!$C$18/(1+'Bảng thông số'!$F$18)</f>
        <v>1.0909090909090908</v>
      </c>
      <c r="I24" s="16">
        <f>'Bảng thông số'!$C$18/(1+'Bảng thông số'!$F$18)</f>
        <v>1.0909090909090908</v>
      </c>
      <c r="J24" s="16">
        <f>'Bảng thông số'!$C$18/(1+'Bảng thông số'!$F$18)</f>
        <v>1.0909090909090908</v>
      </c>
      <c r="K24" s="16">
        <f>'Bảng thông số'!$C$18/(1+'Bảng thông số'!$F$18)</f>
        <v>1.0909090909090908</v>
      </c>
    </row>
    <row r="25" spans="1:11">
      <c r="A25" s="7" t="s">
        <v>94</v>
      </c>
      <c r="B25" s="7" t="s">
        <v>10</v>
      </c>
      <c r="C25" s="16">
        <v>0</v>
      </c>
      <c r="D25" s="16">
        <f>'Bảng thông số'!$C$19*('Bảng thông số'!$F$19*'Bảng thông số'!$G$19 + 'Bảng thông số'!$F$20*'Bảng thông số'!$G$20 + 'Bảng thông số'!$F$21*'Bảng thông số'!$G$21)</f>
        <v>2.2199999999999998</v>
      </c>
      <c r="E25" s="16">
        <f>'Bảng thông số'!$C$19*('Bảng thông số'!$F$19*'Bảng thông số'!$G$19 + 'Bảng thông số'!$F$20*'Bảng thông số'!$G$20 + 'Bảng thông số'!$F$21*'Bảng thông số'!$G$21)</f>
        <v>2.2199999999999998</v>
      </c>
      <c r="F25" s="16">
        <f>'Bảng thông số'!$C$19*('Bảng thông số'!$F$19*'Bảng thông số'!$G$19 + 'Bảng thông số'!$F$20*'Bảng thông số'!$G$20 + 'Bảng thông số'!$F$21*'Bảng thông số'!$G$21)</f>
        <v>2.2199999999999998</v>
      </c>
      <c r="G25" s="16">
        <f>'Bảng thông số'!$C$19*('Bảng thông số'!$F$19*'Bảng thông số'!$G$19 + 'Bảng thông số'!$F$20*'Bảng thông số'!$G$20 + 'Bảng thông số'!$F$21*'Bảng thông số'!$G$21)</f>
        <v>2.2199999999999998</v>
      </c>
      <c r="H25" s="16">
        <f>'Bảng thông số'!$C$19*('Bảng thông số'!$F$19*'Bảng thông số'!$G$19 + 'Bảng thông số'!$F$20*'Bảng thông số'!$G$20 + 'Bảng thông số'!$F$21*'Bảng thông số'!$G$21)</f>
        <v>2.2199999999999998</v>
      </c>
      <c r="I25" s="16">
        <f>'Bảng thông số'!$C$19*('Bảng thông số'!$F$19*'Bảng thông số'!$G$19 + 'Bảng thông số'!$F$20*'Bảng thông số'!$G$20 + 'Bảng thông số'!$F$21*'Bảng thông số'!$G$21)</f>
        <v>2.2199999999999998</v>
      </c>
      <c r="J25" s="16">
        <f>'Bảng thông số'!$C$19*('Bảng thông số'!$F$19*'Bảng thông số'!$G$19 + 'Bảng thông số'!$F$20*'Bảng thông số'!$G$20 + 'Bảng thông số'!$F$21*'Bảng thông số'!$G$21)</f>
        <v>2.2199999999999998</v>
      </c>
      <c r="K25" s="16">
        <f>'Bảng thông số'!$C$19*('Bảng thông số'!$F$19*'Bảng thông số'!$G$19 + 'Bảng thông số'!$F$20*'Bảng thông số'!$G$20 + 'Bảng thông số'!$F$21*'Bảng thông số'!$G$21)</f>
        <v>2.2199999999999998</v>
      </c>
    </row>
    <row r="26" spans="1:11">
      <c r="A26" s="7" t="s">
        <v>95</v>
      </c>
      <c r="B26" s="7" t="s">
        <v>10</v>
      </c>
      <c r="C26" s="16">
        <v>0</v>
      </c>
      <c r="D26" s="16">
        <f>'Bảng thông số'!$C$22 - 'Bảng thông số'!$F$22</f>
        <v>0.7</v>
      </c>
      <c r="E26" s="16">
        <f>'Bảng thông số'!$C$22 - 'Bảng thông số'!$F$22</f>
        <v>0.7</v>
      </c>
      <c r="F26" s="16">
        <f>'Bảng thông số'!$C$22 - 'Bảng thông số'!$F$22</f>
        <v>0.7</v>
      </c>
      <c r="G26" s="16">
        <f>'Bảng thông số'!$C$22 - 'Bảng thông số'!$F$22</f>
        <v>0.7</v>
      </c>
      <c r="H26" s="16">
        <f>'Bảng thông số'!$C$22 - 'Bảng thông số'!$F$22</f>
        <v>0.7</v>
      </c>
      <c r="I26" s="16">
        <f>'Bảng thông số'!$C$22 - 'Bảng thông số'!$F$22</f>
        <v>0.7</v>
      </c>
      <c r="J26" s="16">
        <f>'Bảng thông số'!$C$22 - 'Bảng thông số'!$F$22</f>
        <v>0.7</v>
      </c>
      <c r="K26" s="16">
        <f>'Bảng thông số'!$C$22 - 'Bảng thông số'!$F$22</f>
        <v>0.7</v>
      </c>
    </row>
    <row r="27" spans="1:11">
      <c r="A27" s="7" t="s">
        <v>96</v>
      </c>
      <c r="B27" s="7" t="s">
        <v>10</v>
      </c>
      <c r="C27" s="16">
        <v>0</v>
      </c>
      <c r="D27" s="16">
        <f>'Bảng thông số'!$C$23</f>
        <v>1.26</v>
      </c>
      <c r="E27" s="16">
        <f>'Bảng thông số'!$C$23</f>
        <v>1.26</v>
      </c>
      <c r="F27" s="16">
        <f>'Bảng thông số'!$C$23</f>
        <v>1.26</v>
      </c>
      <c r="G27" s="16">
        <f>'Bảng thông số'!$C$23</f>
        <v>1.26</v>
      </c>
      <c r="H27" s="16">
        <f>'Bảng thông số'!$C$23</f>
        <v>1.26</v>
      </c>
      <c r="I27" s="16">
        <f>'Bảng thông số'!$C$23</f>
        <v>1.26</v>
      </c>
      <c r="J27" s="16">
        <f>'Bảng thông số'!$C$23</f>
        <v>1.26</v>
      </c>
      <c r="K27" s="16">
        <f>'Bảng thông số'!$C$23</f>
        <v>1.26</v>
      </c>
    </row>
    <row r="28" spans="1:11">
      <c r="A28" s="7" t="s">
        <v>97</v>
      </c>
      <c r="B28" s="7" t="s">
        <v>10</v>
      </c>
      <c r="C28" s="16">
        <v>0</v>
      </c>
      <c r="D28" s="16">
        <f>'Bảng thông số'!$C$24</f>
        <v>0.5</v>
      </c>
      <c r="E28" s="16">
        <f>'Bảng thông số'!$C$24</f>
        <v>0.5</v>
      </c>
      <c r="F28" s="16">
        <f>'Bảng thông số'!$C$24</f>
        <v>0.5</v>
      </c>
      <c r="G28" s="16">
        <f>'Bảng thông số'!$C$24</f>
        <v>0.5</v>
      </c>
      <c r="H28" s="16">
        <f>'Bảng thông số'!$C$24</f>
        <v>0.5</v>
      </c>
      <c r="I28" s="16">
        <f>'Bảng thông số'!$C$24</f>
        <v>0.5</v>
      </c>
      <c r="J28" s="16">
        <f>'Bảng thông số'!$C$24</f>
        <v>0.5</v>
      </c>
      <c r="K28" s="16">
        <f>'Bảng thông số'!$C$24</f>
        <v>0.5</v>
      </c>
    </row>
    <row r="29" spans="1:11">
      <c r="A29" s="12" t="s">
        <v>98</v>
      </c>
      <c r="B29" s="12" t="s">
        <v>10</v>
      </c>
      <c r="C29" s="13">
        <f>C14+C20</f>
        <v>60.391750841750834</v>
      </c>
      <c r="D29" s="13">
        <f>D14+D20</f>
        <v>9.6092929292929288</v>
      </c>
      <c r="E29" s="13">
        <f>E14+E20</f>
        <v>9.6092929292929288</v>
      </c>
      <c r="F29" s="13">
        <f>F14+F20</f>
        <v>9.6092929292929288</v>
      </c>
      <c r="G29" s="13">
        <f>G14+G20</f>
        <v>9.6092929292929288</v>
      </c>
      <c r="H29" s="13">
        <f>H14+H20</f>
        <v>9.6092929292929288</v>
      </c>
      <c r="I29" s="13">
        <f>I14+I20</f>
        <v>9.6092929292929288</v>
      </c>
      <c r="J29" s="13">
        <f>J14+J20</f>
        <v>9.6092929292929288</v>
      </c>
      <c r="K29" s="13">
        <f>K14+K20</f>
        <v>9.6092929292929288</v>
      </c>
    </row>
    <row r="30" spans="1:11">
      <c r="A30" s="14" t="s">
        <v>99</v>
      </c>
      <c r="B30" s="14" t="s">
        <v>10</v>
      </c>
      <c r="C30" s="15"/>
      <c r="D30" s="15"/>
      <c r="E30" s="15"/>
      <c r="F30" s="15"/>
      <c r="G30" s="15"/>
      <c r="H30" s="15"/>
      <c r="I30" s="15"/>
      <c r="J30" s="15"/>
      <c r="K30" s="15"/>
    </row>
    <row r="31" spans="1:11">
      <c r="A31" s="12" t="s">
        <v>100</v>
      </c>
      <c r="B31" s="12" t="s">
        <v>10</v>
      </c>
      <c r="C31" s="13">
        <f>C12-C29</f>
        <v>-60.391750841750834</v>
      </c>
      <c r="D31" s="13">
        <f>D12-D29</f>
        <v>27.550707070707077</v>
      </c>
      <c r="E31" s="13">
        <f>E12-E29</f>
        <v>27.550707070707077</v>
      </c>
      <c r="F31" s="13">
        <f>F12-F29</f>
        <v>27.550707070707077</v>
      </c>
      <c r="G31" s="13">
        <f>G12-G29</f>
        <v>27.550707070707077</v>
      </c>
      <c r="H31" s="13">
        <f>H12-H29</f>
        <v>27.550707070707077</v>
      </c>
      <c r="I31" s="13">
        <f>I12-I29</f>
        <v>27.550707070707077</v>
      </c>
      <c r="J31" s="13">
        <f>J12-J29</f>
        <v>27.550707070707077</v>
      </c>
      <c r="K31" s="13">
        <f>K12-K29</f>
        <v>36.076969696969705</v>
      </c>
    </row>
    <row r="32" spans="1:11">
      <c r="A32" s="14" t="s">
        <v>101</v>
      </c>
      <c r="B32" s="14"/>
      <c r="C32" s="15"/>
      <c r="D32" s="15"/>
      <c r="E32" s="15"/>
      <c r="F32" s="15"/>
      <c r="G32" s="15"/>
      <c r="H32" s="15"/>
      <c r="I32" s="15"/>
      <c r="J32" s="15"/>
      <c r="K32" s="15"/>
    </row>
    <row r="33" spans="1:11">
      <c r="A33" s="3" t="s">
        <v>102</v>
      </c>
      <c r="B33" s="3" t="s">
        <v>103</v>
      </c>
      <c r="C33" s="4">
        <f>'Bảng thông số'!$C$39</f>
        <v>0.08</v>
      </c>
      <c r="D33" s="4"/>
      <c r="E33" s="4"/>
      <c r="F33" s="4"/>
      <c r="G33" s="4"/>
      <c r="H33" s="4"/>
      <c r="I33" s="4"/>
      <c r="J33" s="4"/>
      <c r="K33" s="4"/>
    </row>
    <row r="34" spans="1:11">
      <c r="A34" s="5" t="s">
        <v>104</v>
      </c>
      <c r="B34" s="5" t="s">
        <v>10</v>
      </c>
      <c r="C34" s="17">
        <f>NPV(C33, D31:K31) + C31</f>
        <v>102.5386897360042</v>
      </c>
      <c r="D34" s="10"/>
      <c r="E34" s="10"/>
      <c r="F34" s="10"/>
      <c r="G34" s="10"/>
      <c r="H34" s="10"/>
      <c r="I34" s="10"/>
      <c r="J34" s="10"/>
      <c r="K34" s="10"/>
    </row>
    <row r="35" spans="1:11">
      <c r="A35" s="5" t="s">
        <v>105</v>
      </c>
      <c r="B35" s="5" t="s">
        <v>10</v>
      </c>
      <c r="C35" s="17">
        <f>NPV(C33, D12:K12) + C12</f>
        <v>218.15157754689395</v>
      </c>
      <c r="D35" s="10"/>
      <c r="E35" s="10"/>
      <c r="F35" s="10"/>
      <c r="G35" s="10"/>
      <c r="H35" s="10"/>
      <c r="I35" s="10"/>
      <c r="J35" s="10"/>
      <c r="K35" s="10"/>
    </row>
    <row r="36" spans="1:11">
      <c r="A36" s="5" t="s">
        <v>106</v>
      </c>
      <c r="B36" s="5" t="s">
        <v>10</v>
      </c>
      <c r="C36" s="17">
        <f>NPV(C33, D29:K29) + C29</f>
        <v>115.61288781088975</v>
      </c>
      <c r="D36" s="10"/>
      <c r="E36" s="10"/>
      <c r="F36" s="10"/>
      <c r="G36" s="10"/>
      <c r="H36" s="10"/>
      <c r="I36" s="10"/>
      <c r="J36" s="10"/>
      <c r="K36" s="10"/>
    </row>
    <row r="37" spans="1:11">
      <c r="A37" s="5" t="s">
        <v>107</v>
      </c>
      <c r="B37" s="5" t="s">
        <v>108</v>
      </c>
      <c r="C37" s="17">
        <f>C35/C36</f>
        <v>1.886914008269811</v>
      </c>
      <c r="D37" s="10"/>
      <c r="E37" s="10"/>
      <c r="F37" s="10"/>
      <c r="G37" s="10"/>
      <c r="H37" s="10"/>
      <c r="I37" s="10"/>
      <c r="J37" s="10"/>
      <c r="K37" s="10"/>
    </row>
    <row r="38" spans="1:11">
      <c r="A38" s="3" t="s">
        <v>109</v>
      </c>
      <c r="B38" s="3" t="s">
        <v>43</v>
      </c>
      <c r="C38" s="11">
        <v>0</v>
      </c>
      <c r="D38" s="11">
        <f>'Bảng thông số'!$C$26</f>
        <v>28000</v>
      </c>
      <c r="E38" s="11">
        <f>'Bảng thông số'!$C$26</f>
        <v>28000</v>
      </c>
      <c r="F38" s="11">
        <f>'Bảng thông số'!$C$26</f>
        <v>28000</v>
      </c>
      <c r="G38" s="11">
        <f>'Bảng thông số'!$C$26</f>
        <v>28000</v>
      </c>
      <c r="H38" s="11">
        <f>'Bảng thông số'!$C$26</f>
        <v>28000</v>
      </c>
      <c r="I38" s="11">
        <f>'Bảng thông số'!$C$26</f>
        <v>28000</v>
      </c>
      <c r="J38" s="11">
        <f>'Bảng thông số'!$C$26</f>
        <v>28000</v>
      </c>
      <c r="K38" s="11">
        <f>'Bảng thông số'!$C$26</f>
        <v>28000</v>
      </c>
    </row>
    <row r="39" spans="1:11">
      <c r="A39" s="2" t="s">
        <v>110</v>
      </c>
      <c r="B39" s="2" t="s">
        <v>111</v>
      </c>
      <c r="C39" s="10">
        <f>(C36 * 10^9) / NPV(C33, D38:K38)</f>
        <v>718512.46406218503</v>
      </c>
      <c r="D39" s="10"/>
      <c r="E39" s="10"/>
      <c r="F39" s="10"/>
      <c r="G39" s="10"/>
      <c r="H39" s="10"/>
      <c r="I39" s="10"/>
      <c r="J39" s="10"/>
      <c r="K39"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2026-09-22T09:31:02Z</dcterms:created>
  <dcterms:modified xsi:type="dcterms:W3CDTF">2026-09-22T11:00:46Z</dcterms:modified>
  <cp:category/>
  <cp:contentStatus/>
</cp:coreProperties>
</file>