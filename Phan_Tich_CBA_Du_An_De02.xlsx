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0" documentId="8_{3E14F91A-36DD-44A0-B2CD-39020A199BD0}" xr6:coauthVersionLast="47" xr6:coauthVersionMax="47" xr10:uidLastSave="{00000000-0000-0000-0000-000000000000}"/>
  <bookViews>
    <workbookView xWindow="0" yWindow="0" windowWidth="0" windowHeight="0" firstSheet="1" xr2:uid="{00000000-000D-0000-FFFF-FFFF00000000}"/>
  </bookViews>
  <sheets>
    <sheet name="Du an 2" sheetId="3" r:id="rId1"/>
    <sheet name="Bảng thông số" sheetId="1" r:id="rId2"/>
    <sheet name="Bảng tính"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0" i="2" l="1"/>
  <c r="J30" i="2"/>
  <c r="I30" i="2"/>
  <c r="H30" i="2"/>
  <c r="G30" i="2"/>
  <c r="F30" i="2"/>
  <c r="E30" i="2"/>
  <c r="D30" i="2"/>
  <c r="C25" i="2"/>
  <c r="H20" i="2"/>
  <c r="K19" i="2"/>
  <c r="J19" i="2"/>
  <c r="I19" i="2"/>
  <c r="H19" i="2"/>
  <c r="G19" i="2"/>
  <c r="F19" i="2"/>
  <c r="E19" i="2"/>
  <c r="D19" i="2"/>
  <c r="C19" i="2"/>
  <c r="K18" i="2"/>
  <c r="J18" i="2"/>
  <c r="I18" i="2"/>
  <c r="H18" i="2"/>
  <c r="G18" i="2"/>
  <c r="F18" i="2"/>
  <c r="E18" i="2"/>
  <c r="D18" i="2"/>
  <c r="K17" i="2"/>
  <c r="J17" i="2"/>
  <c r="I17" i="2"/>
  <c r="H17" i="2"/>
  <c r="G17" i="2"/>
  <c r="F17" i="2"/>
  <c r="E17" i="2"/>
  <c r="D17" i="2"/>
  <c r="K16" i="2"/>
  <c r="J16" i="2"/>
  <c r="I16" i="2"/>
  <c r="H16" i="2"/>
  <c r="G16" i="2"/>
  <c r="F16" i="2"/>
  <c r="E16" i="2"/>
  <c r="D16" i="2"/>
  <c r="K15" i="2"/>
  <c r="J15" i="2"/>
  <c r="I15" i="2"/>
  <c r="H15" i="2"/>
  <c r="G15" i="2"/>
  <c r="F15" i="2"/>
  <c r="E15" i="2"/>
  <c r="D15" i="2"/>
  <c r="K14" i="2"/>
  <c r="K21" i="2" s="1"/>
  <c r="J14" i="2"/>
  <c r="J21" i="2" s="1"/>
  <c r="I14" i="2"/>
  <c r="I21" i="2" s="1"/>
  <c r="H14" i="2"/>
  <c r="H21" i="2" s="1"/>
  <c r="G14" i="2"/>
  <c r="G21" i="2" s="1"/>
  <c r="F14" i="2"/>
  <c r="F21" i="2" s="1"/>
  <c r="E14" i="2"/>
  <c r="E21" i="2" s="1"/>
  <c r="D14" i="2"/>
  <c r="D21" i="2" s="1"/>
  <c r="C13" i="2"/>
  <c r="C12" i="2"/>
  <c r="C11" i="2"/>
  <c r="C10" i="2"/>
  <c r="C9" i="2"/>
  <c r="C21" i="2" s="1"/>
  <c r="C7" i="2"/>
  <c r="C23" i="2" s="1"/>
  <c r="K6" i="2"/>
  <c r="K5" i="2"/>
  <c r="J5" i="2"/>
  <c r="I5" i="2"/>
  <c r="H5" i="2"/>
  <c r="G5" i="2"/>
  <c r="F5" i="2"/>
  <c r="E5" i="2"/>
  <c r="D5" i="2"/>
  <c r="K4" i="2"/>
  <c r="J4" i="2"/>
  <c r="I4" i="2"/>
  <c r="H4" i="2"/>
  <c r="G4" i="2"/>
  <c r="F4" i="2"/>
  <c r="E4" i="2"/>
  <c r="D4" i="2"/>
  <c r="K3" i="2"/>
  <c r="K7" i="2" s="1"/>
  <c r="K23" i="2" s="1"/>
  <c r="J3" i="2"/>
  <c r="J7" i="2" s="1"/>
  <c r="J23" i="2" s="1"/>
  <c r="I3" i="2"/>
  <c r="I7" i="2" s="1"/>
  <c r="I23" i="2" s="1"/>
  <c r="H3" i="2"/>
  <c r="H7" i="2" s="1"/>
  <c r="H23" i="2" s="1"/>
  <c r="G3" i="2"/>
  <c r="G7" i="2" s="1"/>
  <c r="G23" i="2" s="1"/>
  <c r="F3" i="2"/>
  <c r="F7" i="2" s="1"/>
  <c r="F23" i="2" s="1"/>
  <c r="E3" i="2"/>
  <c r="E7" i="2" s="1"/>
  <c r="E23" i="2" s="1"/>
  <c r="D3" i="2"/>
  <c r="D7" i="2" s="1"/>
  <c r="D23" i="2" s="1"/>
  <c r="C28" i="2" l="1"/>
  <c r="C31" i="2" s="1"/>
  <c r="C27" i="2"/>
  <c r="C29" i="2" s="1"/>
  <c r="C26" i="2"/>
</calcChain>
</file>

<file path=xl/sharedStrings.xml><?xml version="1.0" encoding="utf-8"?>
<sst xmlns="http://schemas.openxmlformats.org/spreadsheetml/2006/main" count="156" uniqueCount="96">
  <si>
    <t>Đề 02
Một bệnh viện công dự kiến lắp đặt hệ thống điện mặt trời áp mái 2 MWp để tự dùng điện. Thời gian vận hành 8 năm, tỉ lệ chiết khấu xã hội là 8%. Dự án được đầu tư lắp đặt trong năm 0 với các chi phí:
- Tấm pin, thiết bị inverter được nhập khẩu với giá 22 tỷ đồng, gồm thuế nhập khẩu 5% và VAT 10%.
- Khung đỡ và dây dẫn với giá 5,5 tỷ đồng sau thuế VAT 10%.
- Lao động lắp đặt 2,4 tỷ đồng, gồm 50% lao động thất nghiệp kỹ thuật có mức tiền công sẵn lòng nhận là 70% tiền công trong dự án, 50% lao động đang có việc làm tương tự như dự án.
- Đào tạo và giấy phép với chi phí 0,6 tỷ đồng, trong đó 0,2 tỷ đồng là lệ phí nhà nước, còn lại là chi phí nguồn lực thực.
Giá trị còn lại vào cuối dự án của tấm pin mặt trời, thiết bị inverter, khung đỡ là 15% giá trị kinh tế.
Trong quá trình vận hành, hàng năm phát sinh thêm các chi phí:
- Bảo trì, vệ sinh khoảng 0,45 tỷ đồng, đã bao gồm VAT 10%.
- Lao động vận hành 0,35 tỷ đồng, trong đó có 30% là lao động thất nghiêp có mức tiền lương sẵn lòng nhận là 60% mức tiền lương thực tế và 70% là lao động đang có việc làm tương tự như dự án.
- Bảo hiểm, quản lý 0,25 tỷ đồng, trong đó 0,15 tỷ đồng là chi phí nguồn lực thực.
- Nước vệ sinh pin là 0,08 tỷ đồng, chi phí này cũng là chi phí nguồn lực thực.
- Thay thiết bị inverter vào năm 5 tốn 3,3 tỷ đồng, giá đã gồm 5% thuế nhập khẩu và VAT 10%.
Khi hoàn thành, hệ thống này tạo ra 2,8 triệu kWh điện hàng năm giúp thay thế 2,2 triệu kWh điện lưới đang dùng, đồng thời bổ sung thêm 0,6 triệu kWh điện nên cho phép sử dụng thêm các thiết bị mới, kho lạnh dược phẩm và chiếu sáng phụ trợ. Trước đây, bệnh viện đã sẵn sàng trả khoảng 1.800 đến 2.300 đồng/kWh để được cung cấp thêm điện, nhưng đây là mặt hàng kiểm soát giá và còn hạn chế về sản xuất nên gần như điện lưới không đủ cung ứng cho nhu cầu sử dụng thêm các thiết bị này.  
Khi sử dụng điện lưới, ngoài chi phí điện phải trả, bệnh viện còn tốn thêm chi phí phát điện khoảng 1.650 đồng/kWh, chưa gồm thuế VAT 10%. Bệnh viện cũng tốn chi phí tăng công suất 250 đồng/kWh. Trong quá trình sử dụng điện lưới, lượng điện bị thất thoát truyền tải ước tính chi phí bình quân khoảng 82,5 đồng/kWh. Nếu không sử dụng điện lưới, lượng phát thải CO2 tránh được là 0,75 kg CO2/kWh nên xã hội tránh được 650.000 đồng/tấn CO2. 
1/ Nhận dạng lợi ích và chi phí có thể có của dự án. (2 điểm)
2/ Lập bảng thông số của dự án. (2 điểm)
3/ Lập bảng tính lợi ích kinh tế hàng năm của dự án, chi phí kinh tế của mỗi loại đầu vào trong năm xây dựng và trong năm vận hành. (3.75 điểm)
4/ Tính NPV và B/C của dự án. Diễn giải kết quả dự án (1.5 điểm)
5/ Tính giá kinh tế của điện mặt trời. (0.75 điểm)</t>
  </si>
  <si>
    <t>Chỉ tiêu</t>
  </si>
  <si>
    <t>Đvt</t>
  </si>
  <si>
    <t>Giá trị</t>
  </si>
  <si>
    <t>Ghi chú 1</t>
  </si>
  <si>
    <t>Ghi chú 2</t>
  </si>
  <si>
    <t>Ghi chú 3</t>
  </si>
  <si>
    <t>Ghi chú 4</t>
  </si>
  <si>
    <t>1. Giai đoạn xây dựng (Năm 0)</t>
  </si>
  <si>
    <t>Tấm pin, thiết bị inverter</t>
  </si>
  <si>
    <t>tỷ đồng</t>
  </si>
  <si>
    <t>đã gồm</t>
  </si>
  <si>
    <t>thuế VAT</t>
  </si>
  <si>
    <t>thuế nhập khẩu</t>
  </si>
  <si>
    <t>Khung đỡ, dây dẫn</t>
  </si>
  <si>
    <t>Lao động lắp đặt</t>
  </si>
  <si>
    <t>trong đó</t>
  </si>
  <si>
    <t>LĐ thất nghiệp (WTA)</t>
  </si>
  <si>
    <t>LĐ có việc làm (WTA)</t>
  </si>
  <si>
    <t>Đào tạo, giấy phép</t>
  </si>
  <si>
    <t>chi phí nguồn lực thực</t>
  </si>
  <si>
    <t>2. Giai đoạn vận hành (Năm 1-8)</t>
  </si>
  <si>
    <t>Bảo trì, vệ sinh</t>
  </si>
  <si>
    <t>tỷ đồng/năm</t>
  </si>
  <si>
    <t>Lao động vận hành</t>
  </si>
  <si>
    <t>Bảo hiểm, quản lý</t>
  </si>
  <si>
    <t>Nước vệ sinh pin</t>
  </si>
  <si>
    <t>3. Chi phí thay thế (Năm 5)</t>
  </si>
  <si>
    <t>Thay Inverter</t>
  </si>
  <si>
    <t>4. Đầu ra và Lợi ích</t>
  </si>
  <si>
    <t>Sản lượng điện tạo ra (tổng)</t>
  </si>
  <si>
    <t>triệu kWh/năm</t>
  </si>
  <si>
    <t>Sản lượng điện thay thế lưới</t>
  </si>
  <si>
    <t>Giá sẵn lòng trả (WTP) - Mức thấp</t>
  </si>
  <si>
    <t>đồng/kWh</t>
  </si>
  <si>
    <t>Giá sẵn lòng trả (WTP) - Mức cao</t>
  </si>
  <si>
    <t>Chi phí phát điện</t>
  </si>
  <si>
    <t>chưa VAT</t>
  </si>
  <si>
    <t>thay thế</t>
  </si>
  <si>
    <t>Chi phí tăng công suất</t>
  </si>
  <si>
    <t>Chi phí thất thoát truyền tải</t>
  </si>
  <si>
    <t>Lượng phát thải CO2 tránh được</t>
  </si>
  <si>
    <t>kg CO2/kWh</t>
  </si>
  <si>
    <t>áp dụng cho</t>
  </si>
  <si>
    <t>điện thay thế</t>
  </si>
  <si>
    <t>Giá trị CO2 xã hội tránh được</t>
  </si>
  <si>
    <t>đồng/tấn CO2</t>
  </si>
  <si>
    <t>5. Thông số khác</t>
  </si>
  <si>
    <t>Giá trị còn lại</t>
  </si>
  <si>
    <t>Tỷ lệ %</t>
  </si>
  <si>
    <t>trên</t>
  </si>
  <si>
    <t>giá trị KT ban đầu</t>
  </si>
  <si>
    <t>của pin, khung</t>
  </si>
  <si>
    <t>Suất chiết khấu xã hội</t>
  </si>
  <si>
    <t>Hạng mục</t>
  </si>
  <si>
    <t>ĐVT</t>
  </si>
  <si>
    <t>0</t>
  </si>
  <si>
    <t>1</t>
  </si>
  <si>
    <t>2</t>
  </si>
  <si>
    <t>3</t>
  </si>
  <si>
    <t>4</t>
  </si>
  <si>
    <t>5</t>
  </si>
  <si>
    <t>6</t>
  </si>
  <si>
    <t>7</t>
  </si>
  <si>
    <t>8</t>
  </si>
  <si>
    <t>I. LỢI ÍCH KINH TẾ</t>
  </si>
  <si>
    <t>1. Giá trị sản lượng điện tăng thêm</t>
  </si>
  <si>
    <t>2. Giá trị chi phí nguồn lực tiết kiệm được (điện thay thế)</t>
  </si>
  <si>
    <t>3. Lợi ích môi trường (giảm phát thải CO2)</t>
  </si>
  <si>
    <t>4. Giá trị còn lại</t>
  </si>
  <si>
    <t>TỔNG LỢI ÍCH (B)</t>
  </si>
  <si>
    <t>II. CHI PHÍ KINH TẾ</t>
  </si>
  <si>
    <t>1. Giai đoạn xây dựng</t>
  </si>
  <si>
    <t xml:space="preserve">  - Tấm pin, thiết bị inverter</t>
  </si>
  <si>
    <t xml:space="preserve">  - Khung đỡ, dây dẫn</t>
  </si>
  <si>
    <t xml:space="preserve">  - Lao động lắp đặt</t>
  </si>
  <si>
    <t xml:space="preserve">  - Đào tạo, giấy phép</t>
  </si>
  <si>
    <t>2. Giai đoạn vận hành</t>
  </si>
  <si>
    <t xml:space="preserve">  - Bảo trì, vệ sinh</t>
  </si>
  <si>
    <t xml:space="preserve">  - Lao động vận hành</t>
  </si>
  <si>
    <t xml:space="preserve">  - Bảo hiểm, quản lý</t>
  </si>
  <si>
    <t xml:space="preserve">  - Nước vệ sinh pin</t>
  </si>
  <si>
    <t xml:space="preserve">  - Thay thiết bị inverter</t>
  </si>
  <si>
    <t>TỔNG CHI PHÍ (C)</t>
  </si>
  <si>
    <t>III. LỢI ÍCH RÒNG</t>
  </si>
  <si>
    <t>LỢI ÍCH RÒNG (B - C)</t>
  </si>
  <si>
    <t>IV. CHỈ TIÊU KINH TẾ</t>
  </si>
  <si>
    <t>Suất chiết khấu</t>
  </si>
  <si>
    <t>%</t>
  </si>
  <si>
    <t>NPV</t>
  </si>
  <si>
    <t>NPV Lợi Ích (B)</t>
  </si>
  <si>
    <t>NPV Chi Phí (C)</t>
  </si>
  <si>
    <t>B/C</t>
  </si>
  <si>
    <t>lần</t>
  </si>
  <si>
    <t>Phụ trợ: Sản lượng tiêu thụ (tổng)</t>
  </si>
  <si>
    <t>Giá kinh tế điện mặt trời (LCOE)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</si>
</sst>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FFFFFF"/>
      <name val="Calibri"/>
    </font>
    <font>
      <b/>
      <sz val="11"/>
      <name val="Calibri"/>
    </font>
  </fonts>
  <fills count="8">
    <fill>
      <patternFill patternType="none"/>
    </fill>
    <fill>
      <patternFill patternType="gray125"/>
    </fill>
    <fill>
      <patternFill patternType="solid">
        <fgColor rgb="FF4F81BD"/>
      </patternFill>
    </fill>
    <fill>
      <patternFill patternType="solid">
        <fgColor rgb="FFE6E6E6"/>
      </patternFill>
    </fill>
    <fill>
      <patternFill patternType="solid">
        <fgColor theme="4"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5" tint="0.79998168889431442"/>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37">
    <xf numFmtId="0" fontId="0" fillId="0" borderId="0" xfId="0"/>
    <xf numFmtId="0" fontId="2" fillId="0" borderId="0" xfId="0" applyFont="1"/>
    <xf numFmtId="4" fontId="2" fillId="0" borderId="0" xfId="0" applyNumberFormat="1" applyFont="1"/>
    <xf numFmtId="0" fontId="1" fillId="2" borderId="1" xfId="0" applyFont="1" applyFill="1" applyBorder="1"/>
    <xf numFmtId="0" fontId="0" fillId="0" borderId="1" xfId="0" applyBorder="1"/>
    <xf numFmtId="9" fontId="0" fillId="0" borderId="1" xfId="0" applyNumberFormat="1" applyBorder="1"/>
    <xf numFmtId="0" fontId="1" fillId="2" borderId="1" xfId="0" applyFont="1" applyFill="1" applyBorder="1" applyAlignment="1">
      <alignment horizontal="center"/>
    </xf>
    <xf numFmtId="4" fontId="2" fillId="0" borderId="1" xfId="0" applyNumberFormat="1" applyFont="1" applyBorder="1"/>
    <xf numFmtId="4" fontId="0" fillId="0" borderId="1" xfId="0" applyNumberFormat="1" applyBorder="1"/>
    <xf numFmtId="0" fontId="2" fillId="3" borderId="1" xfId="0" applyFont="1" applyFill="1" applyBorder="1"/>
    <xf numFmtId="4" fontId="2" fillId="3" borderId="1" xfId="0" applyNumberFormat="1" applyFont="1" applyFill="1" applyBorder="1"/>
    <xf numFmtId="0" fontId="0" fillId="0" borderId="0" xfId="0" applyAlignment="1">
      <alignment horizontal="left" wrapText="1"/>
    </xf>
    <xf numFmtId="0" fontId="2" fillId="4" borderId="1" xfId="0" applyFont="1" applyFill="1" applyBorder="1"/>
    <xf numFmtId="0" fontId="0" fillId="4" borderId="1" xfId="0" applyFill="1" applyBorder="1"/>
    <xf numFmtId="0" fontId="0" fillId="4" borderId="1" xfId="0" applyFill="1" applyBorder="1" applyAlignment="1">
      <alignment horizontal="center"/>
    </xf>
    <xf numFmtId="0" fontId="0" fillId="5" borderId="2" xfId="0" applyFont="1" applyFill="1" applyBorder="1" applyAlignment="1">
      <alignment horizontal="left" vertical="center" wrapText="1"/>
    </xf>
    <xf numFmtId="0" fontId="0" fillId="5" borderId="2" xfId="0" applyFont="1" applyFill="1" applyBorder="1" applyAlignment="1">
      <alignment horizontal="center" vertical="center" wrapText="1"/>
    </xf>
    <xf numFmtId="0" fontId="0" fillId="5" borderId="1" xfId="0" applyFont="1" applyFill="1" applyBorder="1"/>
    <xf numFmtId="9" fontId="0" fillId="5" borderId="1" xfId="0" applyNumberFormat="1" applyFont="1" applyFill="1" applyBorder="1"/>
    <xf numFmtId="0" fontId="0" fillId="5" borderId="3" xfId="0" applyFont="1" applyFill="1" applyBorder="1" applyAlignment="1">
      <alignment horizontal="left" vertical="center" wrapText="1"/>
    </xf>
    <xf numFmtId="0" fontId="0" fillId="5" borderId="3" xfId="0" applyFont="1" applyFill="1" applyBorder="1" applyAlignment="1">
      <alignment horizontal="center" vertical="center" wrapText="1"/>
    </xf>
    <xf numFmtId="0" fontId="0" fillId="5" borderId="1" xfId="0" applyFont="1" applyFill="1" applyBorder="1" applyAlignment="1">
      <alignment horizontal="center"/>
    </xf>
    <xf numFmtId="0" fontId="0" fillId="5" borderId="1" xfId="0" applyFill="1" applyBorder="1"/>
    <xf numFmtId="0" fontId="0" fillId="5" borderId="1" xfId="0" applyFill="1" applyBorder="1" applyAlignment="1">
      <alignment horizontal="center"/>
    </xf>
    <xf numFmtId="9" fontId="0" fillId="5" borderId="1" xfId="0" applyNumberFormat="1" applyFill="1" applyBorder="1"/>
    <xf numFmtId="0" fontId="0" fillId="5" borderId="2" xfId="0" applyFill="1" applyBorder="1" applyAlignment="1">
      <alignment horizontal="left" vertical="center" wrapText="1"/>
    </xf>
    <xf numFmtId="0" fontId="0" fillId="5" borderId="2" xfId="0" applyFill="1" applyBorder="1" applyAlignment="1">
      <alignment horizontal="center" vertical="center" wrapText="1"/>
    </xf>
    <xf numFmtId="0" fontId="0" fillId="5" borderId="3" xfId="0" applyFill="1" applyBorder="1" applyAlignment="1">
      <alignment horizontal="left" vertical="center" wrapText="1"/>
    </xf>
    <xf numFmtId="0" fontId="0" fillId="5" borderId="3" xfId="0" applyFill="1" applyBorder="1" applyAlignment="1">
      <alignment horizontal="center" vertical="center" wrapText="1"/>
    </xf>
    <xf numFmtId="3" fontId="0" fillId="5" borderId="1" xfId="0" applyNumberFormat="1" applyFill="1" applyBorder="1" applyAlignment="1">
      <alignment horizontal="center"/>
    </xf>
    <xf numFmtId="9" fontId="0" fillId="5" borderId="1" xfId="0" applyNumberFormat="1" applyFill="1" applyBorder="1" applyAlignment="1">
      <alignment horizontal="center"/>
    </xf>
    <xf numFmtId="4" fontId="2" fillId="4" borderId="1" xfId="0" applyNumberFormat="1" applyFont="1" applyFill="1" applyBorder="1"/>
    <xf numFmtId="4" fontId="0" fillId="5" borderId="1" xfId="0" applyNumberFormat="1" applyFill="1" applyBorder="1"/>
    <xf numFmtId="0" fontId="0" fillId="6" borderId="1" xfId="0" applyFill="1" applyBorder="1"/>
    <xf numFmtId="4" fontId="0" fillId="6" borderId="1" xfId="0" applyNumberFormat="1" applyFill="1" applyBorder="1"/>
    <xf numFmtId="0" fontId="2" fillId="7" borderId="1" xfId="0" applyFont="1" applyFill="1" applyBorder="1"/>
    <xf numFmtId="4" fontId="2" fillId="7" borderId="1" xfId="0" applyNumberFormat="1" applyFont="1" applyFill="1" applyBorder="1"/>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4A895-4638-47FF-BE68-BBAE879DFF58}">
  <dimension ref="A1:L31"/>
  <sheetViews>
    <sheetView tabSelected="1" workbookViewId="0">
      <selection activeCell="P28" sqref="P28"/>
    </sheetView>
  </sheetViews>
  <sheetFormatPr defaultRowHeight="15"/>
  <sheetData>
    <row r="1" spans="1:12" ht="15" customHeight="1">
      <c r="A1" s="11" t="s">
        <v>0</v>
      </c>
      <c r="B1" s="11"/>
      <c r="C1" s="11"/>
      <c r="D1" s="11"/>
      <c r="E1" s="11"/>
      <c r="F1" s="11"/>
      <c r="G1" s="11"/>
      <c r="H1" s="11"/>
      <c r="I1" s="11"/>
      <c r="J1" s="11"/>
      <c r="K1" s="11"/>
      <c r="L1" s="11"/>
    </row>
    <row r="2" spans="1:12">
      <c r="A2" s="11"/>
      <c r="B2" s="11"/>
      <c r="C2" s="11"/>
      <c r="D2" s="11"/>
      <c r="E2" s="11"/>
      <c r="F2" s="11"/>
      <c r="G2" s="11"/>
      <c r="H2" s="11"/>
      <c r="I2" s="11"/>
      <c r="J2" s="11"/>
      <c r="K2" s="11"/>
      <c r="L2" s="11"/>
    </row>
    <row r="3" spans="1:12">
      <c r="A3" s="11"/>
      <c r="B3" s="11"/>
      <c r="C3" s="11"/>
      <c r="D3" s="11"/>
      <c r="E3" s="11"/>
      <c r="F3" s="11"/>
      <c r="G3" s="11"/>
      <c r="H3" s="11"/>
      <c r="I3" s="11"/>
      <c r="J3" s="11"/>
      <c r="K3" s="11"/>
      <c r="L3" s="11"/>
    </row>
    <row r="4" spans="1:12">
      <c r="A4" s="11"/>
      <c r="B4" s="11"/>
      <c r="C4" s="11"/>
      <c r="D4" s="11"/>
      <c r="E4" s="11"/>
      <c r="F4" s="11"/>
      <c r="G4" s="11"/>
      <c r="H4" s="11"/>
      <c r="I4" s="11"/>
      <c r="J4" s="11"/>
      <c r="K4" s="11"/>
      <c r="L4" s="11"/>
    </row>
    <row r="5" spans="1:12">
      <c r="A5" s="11"/>
      <c r="B5" s="11"/>
      <c r="C5" s="11"/>
      <c r="D5" s="11"/>
      <c r="E5" s="11"/>
      <c r="F5" s="11"/>
      <c r="G5" s="11"/>
      <c r="H5" s="11"/>
      <c r="I5" s="11"/>
      <c r="J5" s="11"/>
      <c r="K5" s="11"/>
      <c r="L5" s="11"/>
    </row>
    <row r="6" spans="1:12">
      <c r="A6" s="11"/>
      <c r="B6" s="11"/>
      <c r="C6" s="11"/>
      <c r="D6" s="11"/>
      <c r="E6" s="11"/>
      <c r="F6" s="11"/>
      <c r="G6" s="11"/>
      <c r="H6" s="11"/>
      <c r="I6" s="11"/>
      <c r="J6" s="11"/>
      <c r="K6" s="11"/>
      <c r="L6" s="11"/>
    </row>
    <row r="7" spans="1:12">
      <c r="A7" s="11"/>
      <c r="B7" s="11"/>
      <c r="C7" s="11"/>
      <c r="D7" s="11"/>
      <c r="E7" s="11"/>
      <c r="F7" s="11"/>
      <c r="G7" s="11"/>
      <c r="H7" s="11"/>
      <c r="I7" s="11"/>
      <c r="J7" s="11"/>
      <c r="K7" s="11"/>
      <c r="L7" s="11"/>
    </row>
    <row r="8" spans="1:12">
      <c r="A8" s="11"/>
      <c r="B8" s="11"/>
      <c r="C8" s="11"/>
      <c r="D8" s="11"/>
      <c r="E8" s="11"/>
      <c r="F8" s="11"/>
      <c r="G8" s="11"/>
      <c r="H8" s="11"/>
      <c r="I8" s="11"/>
      <c r="J8" s="11"/>
      <c r="K8" s="11"/>
      <c r="L8" s="11"/>
    </row>
    <row r="9" spans="1:12">
      <c r="A9" s="11"/>
      <c r="B9" s="11"/>
      <c r="C9" s="11"/>
      <c r="D9" s="11"/>
      <c r="E9" s="11"/>
      <c r="F9" s="11"/>
      <c r="G9" s="11"/>
      <c r="H9" s="11"/>
      <c r="I9" s="11"/>
      <c r="J9" s="11"/>
      <c r="K9" s="11"/>
      <c r="L9" s="11"/>
    </row>
    <row r="10" spans="1:12">
      <c r="A10" s="11"/>
      <c r="B10" s="11"/>
      <c r="C10" s="11"/>
      <c r="D10" s="11"/>
      <c r="E10" s="11"/>
      <c r="F10" s="11"/>
      <c r="G10" s="11"/>
      <c r="H10" s="11"/>
      <c r="I10" s="11"/>
      <c r="J10" s="11"/>
      <c r="K10" s="11"/>
      <c r="L10" s="11"/>
    </row>
    <row r="11" spans="1:12">
      <c r="A11" s="11"/>
      <c r="B11" s="11"/>
      <c r="C11" s="11"/>
      <c r="D11" s="11"/>
      <c r="E11" s="11"/>
      <c r="F11" s="11"/>
      <c r="G11" s="11"/>
      <c r="H11" s="11"/>
      <c r="I11" s="11"/>
      <c r="J11" s="11"/>
      <c r="K11" s="11"/>
      <c r="L11" s="11"/>
    </row>
    <row r="12" spans="1:12">
      <c r="A12" s="11"/>
      <c r="B12" s="11"/>
      <c r="C12" s="11"/>
      <c r="D12" s="11"/>
      <c r="E12" s="11"/>
      <c r="F12" s="11"/>
      <c r="G12" s="11"/>
      <c r="H12" s="11"/>
      <c r="I12" s="11"/>
      <c r="J12" s="11"/>
      <c r="K12" s="11"/>
      <c r="L12" s="11"/>
    </row>
    <row r="13" spans="1:12">
      <c r="A13" s="11"/>
      <c r="B13" s="11"/>
      <c r="C13" s="11"/>
      <c r="D13" s="11"/>
      <c r="E13" s="11"/>
      <c r="F13" s="11"/>
      <c r="G13" s="11"/>
      <c r="H13" s="11"/>
      <c r="I13" s="11"/>
      <c r="J13" s="11"/>
      <c r="K13" s="11"/>
      <c r="L13" s="11"/>
    </row>
    <row r="14" spans="1:12">
      <c r="A14" s="11"/>
      <c r="B14" s="11"/>
      <c r="C14" s="11"/>
      <c r="D14" s="11"/>
      <c r="E14" s="11"/>
      <c r="F14" s="11"/>
      <c r="G14" s="11"/>
      <c r="H14" s="11"/>
      <c r="I14" s="11"/>
      <c r="J14" s="11"/>
      <c r="K14" s="11"/>
      <c r="L14" s="11"/>
    </row>
    <row r="15" spans="1:12">
      <c r="A15" s="11"/>
      <c r="B15" s="11"/>
      <c r="C15" s="11"/>
      <c r="D15" s="11"/>
      <c r="E15" s="11"/>
      <c r="F15" s="11"/>
      <c r="G15" s="11"/>
      <c r="H15" s="11"/>
      <c r="I15" s="11"/>
      <c r="J15" s="11"/>
      <c r="K15" s="11"/>
      <c r="L15" s="11"/>
    </row>
    <row r="16" spans="1:12">
      <c r="A16" s="11"/>
      <c r="B16" s="11"/>
      <c r="C16" s="11"/>
      <c r="D16" s="11"/>
      <c r="E16" s="11"/>
      <c r="F16" s="11"/>
      <c r="G16" s="11"/>
      <c r="H16" s="11"/>
      <c r="I16" s="11"/>
      <c r="J16" s="11"/>
      <c r="K16" s="11"/>
      <c r="L16" s="11"/>
    </row>
    <row r="17" spans="1:12">
      <c r="A17" s="11"/>
      <c r="B17" s="11"/>
      <c r="C17" s="11"/>
      <c r="D17" s="11"/>
      <c r="E17" s="11"/>
      <c r="F17" s="11"/>
      <c r="G17" s="11"/>
      <c r="H17" s="11"/>
      <c r="I17" s="11"/>
      <c r="J17" s="11"/>
      <c r="K17" s="11"/>
      <c r="L17" s="11"/>
    </row>
    <row r="18" spans="1:12">
      <c r="A18" s="11"/>
      <c r="B18" s="11"/>
      <c r="C18" s="11"/>
      <c r="D18" s="11"/>
      <c r="E18" s="11"/>
      <c r="F18" s="11"/>
      <c r="G18" s="11"/>
      <c r="H18" s="11"/>
      <c r="I18" s="11"/>
      <c r="J18" s="11"/>
      <c r="K18" s="11"/>
      <c r="L18" s="11"/>
    </row>
    <row r="19" spans="1:12">
      <c r="A19" s="11"/>
      <c r="B19" s="11"/>
      <c r="C19" s="11"/>
      <c r="D19" s="11"/>
      <c r="E19" s="11"/>
      <c r="F19" s="11"/>
      <c r="G19" s="11"/>
      <c r="H19" s="11"/>
      <c r="I19" s="11"/>
      <c r="J19" s="11"/>
      <c r="K19" s="11"/>
      <c r="L19" s="11"/>
    </row>
    <row r="20" spans="1:12">
      <c r="A20" s="11"/>
      <c r="B20" s="11"/>
      <c r="C20" s="11"/>
      <c r="D20" s="11"/>
      <c r="E20" s="11"/>
      <c r="F20" s="11"/>
      <c r="G20" s="11"/>
      <c r="H20" s="11"/>
      <c r="I20" s="11"/>
      <c r="J20" s="11"/>
      <c r="K20" s="11"/>
      <c r="L20" s="11"/>
    </row>
    <row r="21" spans="1:12">
      <c r="A21" s="11"/>
      <c r="B21" s="11"/>
      <c r="C21" s="11"/>
      <c r="D21" s="11"/>
      <c r="E21" s="11"/>
      <c r="F21" s="11"/>
      <c r="G21" s="11"/>
      <c r="H21" s="11"/>
      <c r="I21" s="11"/>
      <c r="J21" s="11"/>
      <c r="K21" s="11"/>
      <c r="L21" s="11"/>
    </row>
    <row r="22" spans="1:12">
      <c r="A22" s="11"/>
      <c r="B22" s="11"/>
      <c r="C22" s="11"/>
      <c r="D22" s="11"/>
      <c r="E22" s="11"/>
      <c r="F22" s="11"/>
      <c r="G22" s="11"/>
      <c r="H22" s="11"/>
      <c r="I22" s="11"/>
      <c r="J22" s="11"/>
      <c r="K22" s="11"/>
      <c r="L22" s="11"/>
    </row>
    <row r="23" spans="1:12">
      <c r="A23" s="11"/>
      <c r="B23" s="11"/>
      <c r="C23" s="11"/>
      <c r="D23" s="11"/>
      <c r="E23" s="11"/>
      <c r="F23" s="11"/>
      <c r="G23" s="11"/>
      <c r="H23" s="11"/>
      <c r="I23" s="11"/>
      <c r="J23" s="11"/>
      <c r="K23" s="11"/>
      <c r="L23" s="11"/>
    </row>
    <row r="24" spans="1:12">
      <c r="A24" s="11"/>
      <c r="B24" s="11"/>
      <c r="C24" s="11"/>
      <c r="D24" s="11"/>
      <c r="E24" s="11"/>
      <c r="F24" s="11"/>
      <c r="G24" s="11"/>
      <c r="H24" s="11"/>
      <c r="I24" s="11"/>
      <c r="J24" s="11"/>
      <c r="K24" s="11"/>
      <c r="L24" s="11"/>
    </row>
    <row r="25" spans="1:12">
      <c r="A25" s="11"/>
      <c r="B25" s="11"/>
      <c r="C25" s="11"/>
      <c r="D25" s="11"/>
      <c r="E25" s="11"/>
      <c r="F25" s="11"/>
      <c r="G25" s="11"/>
      <c r="H25" s="11"/>
      <c r="I25" s="11"/>
      <c r="J25" s="11"/>
      <c r="K25" s="11"/>
      <c r="L25" s="11"/>
    </row>
    <row r="26" spans="1:12">
      <c r="A26" s="11"/>
      <c r="B26" s="11"/>
      <c r="C26" s="11"/>
      <c r="D26" s="11"/>
      <c r="E26" s="11"/>
      <c r="F26" s="11"/>
      <c r="G26" s="11"/>
      <c r="H26" s="11"/>
      <c r="I26" s="11"/>
      <c r="J26" s="11"/>
      <c r="K26" s="11"/>
      <c r="L26" s="11"/>
    </row>
    <row r="27" spans="1:12">
      <c r="A27" s="11"/>
      <c r="B27" s="11"/>
      <c r="C27" s="11"/>
      <c r="D27" s="11"/>
      <c r="E27" s="11"/>
      <c r="F27" s="11"/>
      <c r="G27" s="11"/>
      <c r="H27" s="11"/>
      <c r="I27" s="11"/>
      <c r="J27" s="11"/>
      <c r="K27" s="11"/>
      <c r="L27" s="11"/>
    </row>
    <row r="28" spans="1:12">
      <c r="A28" s="11"/>
      <c r="B28" s="11"/>
      <c r="C28" s="11"/>
      <c r="D28" s="11"/>
      <c r="E28" s="11"/>
      <c r="F28" s="11"/>
      <c r="G28" s="11"/>
      <c r="H28" s="11"/>
      <c r="I28" s="11"/>
      <c r="J28" s="11"/>
      <c r="K28" s="11"/>
      <c r="L28" s="11"/>
    </row>
    <row r="29" spans="1:12">
      <c r="A29" s="11"/>
      <c r="B29" s="11"/>
      <c r="C29" s="11"/>
      <c r="D29" s="11"/>
      <c r="E29" s="11"/>
      <c r="F29" s="11"/>
      <c r="G29" s="11"/>
      <c r="H29" s="11"/>
      <c r="I29" s="11"/>
      <c r="J29" s="11"/>
      <c r="K29" s="11"/>
      <c r="L29" s="11"/>
    </row>
    <row r="30" spans="1:12">
      <c r="A30" s="11"/>
      <c r="B30" s="11"/>
      <c r="C30" s="11"/>
      <c r="D30" s="11"/>
      <c r="E30" s="11"/>
      <c r="F30" s="11"/>
      <c r="G30" s="11"/>
      <c r="H30" s="11"/>
      <c r="I30" s="11"/>
      <c r="J30" s="11"/>
      <c r="K30" s="11"/>
      <c r="L30" s="11"/>
    </row>
    <row r="31" spans="1:12">
      <c r="A31" s="11"/>
      <c r="B31" s="11"/>
      <c r="C31" s="11"/>
      <c r="D31" s="11"/>
      <c r="E31" s="11"/>
      <c r="F31" s="11"/>
      <c r="G31" s="11"/>
      <c r="H31" s="11"/>
      <c r="I31" s="11"/>
      <c r="J31" s="11"/>
      <c r="K31" s="11"/>
      <c r="L31" s="11"/>
    </row>
  </sheetData>
  <mergeCells count="1">
    <mergeCell ref="A1:L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
  <sheetViews>
    <sheetView topLeftCell="A16" workbookViewId="0">
      <selection activeCell="J23" sqref="J23"/>
    </sheetView>
  </sheetViews>
  <sheetFormatPr defaultRowHeight="15"/>
  <cols>
    <col min="1" max="1" width="35" customWidth="1"/>
    <col min="2" max="2" width="15" customWidth="1"/>
    <col min="3" max="4" width="12" customWidth="1"/>
    <col min="5" max="5" width="25" customWidth="1"/>
    <col min="6" max="6" width="14" bestFit="1" customWidth="1"/>
    <col min="7" max="7" width="12" customWidth="1"/>
  </cols>
  <sheetData>
    <row r="1" spans="1:7">
      <c r="A1" s="3" t="s">
        <v>1</v>
      </c>
      <c r="B1" s="3" t="s">
        <v>2</v>
      </c>
      <c r="C1" s="3" t="s">
        <v>3</v>
      </c>
      <c r="D1" s="3" t="s">
        <v>4</v>
      </c>
      <c r="E1" s="3" t="s">
        <v>5</v>
      </c>
      <c r="F1" s="3" t="s">
        <v>6</v>
      </c>
      <c r="G1" s="3" t="s">
        <v>7</v>
      </c>
    </row>
    <row r="2" spans="1:7">
      <c r="A2" s="12" t="s">
        <v>8</v>
      </c>
      <c r="B2" s="13"/>
      <c r="C2" s="13"/>
      <c r="D2" s="13"/>
      <c r="E2" s="13"/>
      <c r="F2" s="13"/>
      <c r="G2" s="13"/>
    </row>
    <row r="3" spans="1:7">
      <c r="A3" s="15" t="s">
        <v>9</v>
      </c>
      <c r="B3" s="15" t="s">
        <v>10</v>
      </c>
      <c r="C3" s="16">
        <v>22</v>
      </c>
      <c r="D3" s="15" t="s">
        <v>11</v>
      </c>
      <c r="E3" s="17" t="s">
        <v>12</v>
      </c>
      <c r="F3" s="18">
        <v>0.1</v>
      </c>
      <c r="G3" s="17"/>
    </row>
    <row r="4" spans="1:7">
      <c r="A4" s="19"/>
      <c r="B4" s="19"/>
      <c r="C4" s="20"/>
      <c r="D4" s="19"/>
      <c r="E4" s="17" t="s">
        <v>13</v>
      </c>
      <c r="F4" s="18">
        <v>0.05</v>
      </c>
      <c r="G4" s="17"/>
    </row>
    <row r="5" spans="1:7">
      <c r="A5" s="17" t="s">
        <v>14</v>
      </c>
      <c r="B5" s="17" t="s">
        <v>10</v>
      </c>
      <c r="C5" s="21">
        <v>5.5</v>
      </c>
      <c r="D5" s="17" t="s">
        <v>11</v>
      </c>
      <c r="E5" s="17" t="s">
        <v>12</v>
      </c>
      <c r="F5" s="18">
        <v>0.1</v>
      </c>
      <c r="G5" s="17"/>
    </row>
    <row r="6" spans="1:7">
      <c r="A6" s="15" t="s">
        <v>15</v>
      </c>
      <c r="B6" s="15" t="s">
        <v>10</v>
      </c>
      <c r="C6" s="16">
        <v>2.4</v>
      </c>
      <c r="D6" s="15" t="s">
        <v>16</v>
      </c>
      <c r="E6" s="17" t="s">
        <v>17</v>
      </c>
      <c r="F6" s="18">
        <v>0.5</v>
      </c>
      <c r="G6" s="18">
        <v>0.7</v>
      </c>
    </row>
    <row r="7" spans="1:7">
      <c r="A7" s="19"/>
      <c r="B7" s="19"/>
      <c r="C7" s="20"/>
      <c r="D7" s="19"/>
      <c r="E7" s="17" t="s">
        <v>18</v>
      </c>
      <c r="F7" s="18">
        <v>0.5</v>
      </c>
      <c r="G7" s="18">
        <v>1</v>
      </c>
    </row>
    <row r="8" spans="1:7">
      <c r="A8" s="17" t="s">
        <v>19</v>
      </c>
      <c r="B8" s="17" t="s">
        <v>10</v>
      </c>
      <c r="C8" s="21">
        <v>0.6</v>
      </c>
      <c r="D8" s="17" t="s">
        <v>16</v>
      </c>
      <c r="E8" s="17" t="s">
        <v>20</v>
      </c>
      <c r="F8" s="17">
        <v>0.4</v>
      </c>
      <c r="G8" s="17"/>
    </row>
    <row r="9" spans="1:7">
      <c r="A9" s="12" t="s">
        <v>21</v>
      </c>
      <c r="B9" s="13"/>
      <c r="C9" s="14"/>
      <c r="D9" s="13"/>
      <c r="E9" s="13"/>
      <c r="F9" s="13"/>
      <c r="G9" s="13"/>
    </row>
    <row r="10" spans="1:7">
      <c r="A10" s="22" t="s">
        <v>22</v>
      </c>
      <c r="B10" s="22" t="s">
        <v>23</v>
      </c>
      <c r="C10" s="23">
        <v>0.45</v>
      </c>
      <c r="D10" s="22" t="s">
        <v>11</v>
      </c>
      <c r="E10" s="22" t="s">
        <v>12</v>
      </c>
      <c r="F10" s="24">
        <v>0.1</v>
      </c>
      <c r="G10" s="22"/>
    </row>
    <row r="11" spans="1:7">
      <c r="A11" s="25" t="s">
        <v>24</v>
      </c>
      <c r="B11" s="25" t="s">
        <v>23</v>
      </c>
      <c r="C11" s="26">
        <v>0.35</v>
      </c>
      <c r="D11" s="25" t="s">
        <v>16</v>
      </c>
      <c r="E11" s="22" t="s">
        <v>17</v>
      </c>
      <c r="F11" s="24">
        <v>0.3</v>
      </c>
      <c r="G11" s="24">
        <v>0.6</v>
      </c>
    </row>
    <row r="12" spans="1:7">
      <c r="A12" s="27"/>
      <c r="B12" s="27"/>
      <c r="C12" s="28"/>
      <c r="D12" s="27"/>
      <c r="E12" s="22" t="s">
        <v>18</v>
      </c>
      <c r="F12" s="24">
        <v>0.7</v>
      </c>
      <c r="G12" s="24">
        <v>1</v>
      </c>
    </row>
    <row r="13" spans="1:7">
      <c r="A13" s="22" t="s">
        <v>25</v>
      </c>
      <c r="B13" s="22" t="s">
        <v>23</v>
      </c>
      <c r="C13" s="23">
        <v>0.25</v>
      </c>
      <c r="D13" s="22" t="s">
        <v>16</v>
      </c>
      <c r="E13" s="22" t="s">
        <v>20</v>
      </c>
      <c r="F13" s="22">
        <v>0.15</v>
      </c>
      <c r="G13" s="22"/>
    </row>
    <row r="14" spans="1:7">
      <c r="A14" s="22" t="s">
        <v>26</v>
      </c>
      <c r="B14" s="22" t="s">
        <v>23</v>
      </c>
      <c r="C14" s="23">
        <v>0.08</v>
      </c>
      <c r="D14" s="22" t="s">
        <v>16</v>
      </c>
      <c r="E14" s="22" t="s">
        <v>20</v>
      </c>
      <c r="F14" s="22">
        <v>0.08</v>
      </c>
      <c r="G14" s="22"/>
    </row>
    <row r="15" spans="1:7">
      <c r="A15" s="12" t="s">
        <v>27</v>
      </c>
      <c r="B15" s="13"/>
      <c r="C15" s="14"/>
      <c r="D15" s="13"/>
      <c r="E15" s="13"/>
      <c r="F15" s="13"/>
      <c r="G15" s="13"/>
    </row>
    <row r="16" spans="1:7">
      <c r="A16" s="25" t="s">
        <v>28</v>
      </c>
      <c r="B16" s="25" t="s">
        <v>10</v>
      </c>
      <c r="C16" s="26">
        <v>3.3</v>
      </c>
      <c r="D16" s="25" t="s">
        <v>11</v>
      </c>
      <c r="E16" s="22" t="s">
        <v>12</v>
      </c>
      <c r="F16" s="24">
        <v>0.1</v>
      </c>
      <c r="G16" s="22"/>
    </row>
    <row r="17" spans="1:7">
      <c r="A17" s="27"/>
      <c r="B17" s="27"/>
      <c r="C17" s="28"/>
      <c r="D17" s="27"/>
      <c r="E17" s="22" t="s">
        <v>13</v>
      </c>
      <c r="F17" s="24">
        <v>0.05</v>
      </c>
      <c r="G17" s="22"/>
    </row>
    <row r="18" spans="1:7">
      <c r="A18" s="12" t="s">
        <v>29</v>
      </c>
      <c r="B18" s="13"/>
      <c r="C18" s="14"/>
      <c r="D18" s="13"/>
      <c r="E18" s="13"/>
      <c r="F18" s="13"/>
      <c r="G18" s="13"/>
    </row>
    <row r="19" spans="1:7">
      <c r="A19" s="22" t="s">
        <v>30</v>
      </c>
      <c r="B19" s="22" t="s">
        <v>31</v>
      </c>
      <c r="C19" s="23">
        <v>2.8</v>
      </c>
      <c r="D19" s="22"/>
      <c r="E19" s="22"/>
      <c r="F19" s="22"/>
      <c r="G19" s="22"/>
    </row>
    <row r="20" spans="1:7">
      <c r="A20" s="22" t="s">
        <v>32</v>
      </c>
      <c r="B20" s="22" t="s">
        <v>31</v>
      </c>
      <c r="C20" s="23">
        <v>2.2000000000000002</v>
      </c>
      <c r="D20" s="22"/>
      <c r="E20" s="22"/>
      <c r="F20" s="22"/>
      <c r="G20" s="22"/>
    </row>
    <row r="21" spans="1:7">
      <c r="A21" s="22" t="s">
        <v>33</v>
      </c>
      <c r="B21" s="22" t="s">
        <v>34</v>
      </c>
      <c r="C21" s="29">
        <v>1800</v>
      </c>
      <c r="D21" s="22"/>
      <c r="E21" s="22"/>
      <c r="F21" s="22"/>
      <c r="G21" s="22"/>
    </row>
    <row r="22" spans="1:7">
      <c r="A22" s="22" t="s">
        <v>35</v>
      </c>
      <c r="B22" s="22" t="s">
        <v>34</v>
      </c>
      <c r="C22" s="29">
        <v>2300</v>
      </c>
      <c r="D22" s="22"/>
      <c r="E22" s="22"/>
      <c r="F22" s="22"/>
      <c r="G22" s="22"/>
    </row>
    <row r="23" spans="1:7">
      <c r="A23" s="22" t="s">
        <v>36</v>
      </c>
      <c r="B23" s="22" t="s">
        <v>34</v>
      </c>
      <c r="C23" s="29">
        <v>1650</v>
      </c>
      <c r="D23" s="22" t="s">
        <v>37</v>
      </c>
      <c r="E23" s="22" t="s">
        <v>38</v>
      </c>
      <c r="F23" s="22"/>
      <c r="G23" s="22"/>
    </row>
    <row r="24" spans="1:7">
      <c r="A24" s="22" t="s">
        <v>39</v>
      </c>
      <c r="B24" s="22" t="s">
        <v>34</v>
      </c>
      <c r="C24" s="29">
        <v>250</v>
      </c>
      <c r="D24" s="22" t="s">
        <v>37</v>
      </c>
      <c r="E24" s="22" t="s">
        <v>38</v>
      </c>
      <c r="F24" s="22"/>
      <c r="G24" s="22"/>
    </row>
    <row r="25" spans="1:7">
      <c r="A25" s="22" t="s">
        <v>40</v>
      </c>
      <c r="B25" s="22" t="s">
        <v>34</v>
      </c>
      <c r="C25" s="23">
        <v>82.5</v>
      </c>
      <c r="D25" s="22" t="s">
        <v>37</v>
      </c>
      <c r="E25" s="22" t="s">
        <v>38</v>
      </c>
      <c r="F25" s="22"/>
      <c r="G25" s="22"/>
    </row>
    <row r="26" spans="1:7">
      <c r="A26" s="22" t="s">
        <v>41</v>
      </c>
      <c r="B26" s="22" t="s">
        <v>42</v>
      </c>
      <c r="C26" s="23">
        <v>0.75</v>
      </c>
      <c r="D26" s="22" t="s">
        <v>43</v>
      </c>
      <c r="E26" s="22" t="s">
        <v>44</v>
      </c>
      <c r="F26" s="22"/>
      <c r="G26" s="22"/>
    </row>
    <row r="27" spans="1:7">
      <c r="A27" s="22" t="s">
        <v>45</v>
      </c>
      <c r="B27" s="22" t="s">
        <v>46</v>
      </c>
      <c r="C27" s="29">
        <v>650000</v>
      </c>
      <c r="D27" s="22"/>
      <c r="E27" s="22"/>
      <c r="F27" s="22"/>
      <c r="G27" s="22"/>
    </row>
    <row r="28" spans="1:7">
      <c r="A28" s="12" t="s">
        <v>47</v>
      </c>
      <c r="B28" s="13"/>
      <c r="C28" s="14"/>
      <c r="D28" s="13"/>
      <c r="E28" s="13"/>
      <c r="F28" s="13"/>
      <c r="G28" s="13"/>
    </row>
    <row r="29" spans="1:7">
      <c r="A29" s="22" t="s">
        <v>48</v>
      </c>
      <c r="B29" s="22" t="s">
        <v>49</v>
      </c>
      <c r="C29" s="30">
        <v>0.15</v>
      </c>
      <c r="D29" s="22" t="s">
        <v>50</v>
      </c>
      <c r="E29" s="22" t="s">
        <v>51</v>
      </c>
      <c r="F29" s="22" t="s">
        <v>52</v>
      </c>
      <c r="G29" s="22"/>
    </row>
    <row r="30" spans="1:7">
      <c r="A30" s="22" t="s">
        <v>53</v>
      </c>
      <c r="B30" s="22" t="s">
        <v>49</v>
      </c>
      <c r="C30" s="30">
        <v>0.08</v>
      </c>
      <c r="D30" s="22"/>
      <c r="E30" s="22"/>
      <c r="F30" s="22"/>
      <c r="G30" s="22"/>
    </row>
  </sheetData>
  <mergeCells count="16">
    <mergeCell ref="A11:A12"/>
    <mergeCell ref="B11:B12"/>
    <mergeCell ref="C11:C12"/>
    <mergeCell ref="D11:D12"/>
    <mergeCell ref="A16:A17"/>
    <mergeCell ref="B16:B17"/>
    <mergeCell ref="C16:C17"/>
    <mergeCell ref="D16:D17"/>
    <mergeCell ref="A3:A4"/>
    <mergeCell ref="B3:B4"/>
    <mergeCell ref="C3:C4"/>
    <mergeCell ref="D3:D4"/>
    <mergeCell ref="A6:A7"/>
    <mergeCell ref="B6:B7"/>
    <mergeCell ref="C6:C7"/>
    <mergeCell ref="D6:D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1"/>
  <sheetViews>
    <sheetView topLeftCell="A11" workbookViewId="0">
      <selection activeCell="F32" sqref="F32"/>
    </sheetView>
  </sheetViews>
  <sheetFormatPr defaultRowHeight="15"/>
  <cols>
    <col min="1" max="1" width="50" customWidth="1"/>
    <col min="2" max="2" width="15" customWidth="1"/>
    <col min="3" max="11" width="13" customWidth="1"/>
  </cols>
  <sheetData>
    <row r="1" spans="1:11">
      <c r="A1" s="6" t="s">
        <v>54</v>
      </c>
      <c r="B1" s="6" t="s">
        <v>55</v>
      </c>
      <c r="C1" s="6" t="s">
        <v>56</v>
      </c>
      <c r="D1" s="6" t="s">
        <v>57</v>
      </c>
      <c r="E1" s="6" t="s">
        <v>58</v>
      </c>
      <c r="F1" s="6" t="s">
        <v>59</v>
      </c>
      <c r="G1" s="6" t="s">
        <v>60</v>
      </c>
      <c r="H1" s="6" t="s">
        <v>61</v>
      </c>
      <c r="I1" s="6" t="s">
        <v>62</v>
      </c>
      <c r="J1" s="6" t="s">
        <v>63</v>
      </c>
      <c r="K1" s="6" t="s">
        <v>64</v>
      </c>
    </row>
    <row r="2" spans="1:11">
      <c r="A2" s="12" t="s">
        <v>65</v>
      </c>
      <c r="B2" s="12" t="s">
        <v>23</v>
      </c>
      <c r="C2" s="31"/>
      <c r="D2" s="31"/>
      <c r="E2" s="31"/>
      <c r="F2" s="31"/>
      <c r="G2" s="31"/>
      <c r="H2" s="31"/>
      <c r="I2" s="31"/>
      <c r="J2" s="31"/>
      <c r="K2" s="31"/>
    </row>
    <row r="3" spans="1:11">
      <c r="A3" s="22" t="s">
        <v>66</v>
      </c>
      <c r="B3" s="22" t="s">
        <v>23</v>
      </c>
      <c r="C3" s="32">
        <v>0</v>
      </c>
      <c r="D3" s="32">
        <f>('Bảng thông số'!$C$19 - 'Bảng thông số'!$C$20) * (('Bảng thông số'!$C$21 + 'Bảng thông số'!$C$22)/2) / 1000</f>
        <v>1.2299999999999993</v>
      </c>
      <c r="E3" s="32">
        <f>('Bảng thông số'!$C$19 - 'Bảng thông số'!$C$20) * (('Bảng thông số'!$C$21 + 'Bảng thông số'!$C$22)/2) / 1000</f>
        <v>1.2299999999999993</v>
      </c>
      <c r="F3" s="32">
        <f>('Bảng thông số'!$C$19 - 'Bảng thông số'!$C$20) * (('Bảng thông số'!$C$21 + 'Bảng thông số'!$C$22)/2) / 1000</f>
        <v>1.2299999999999993</v>
      </c>
      <c r="G3" s="32">
        <f>('Bảng thông số'!$C$19 - 'Bảng thông số'!$C$20) * (('Bảng thông số'!$C$21 + 'Bảng thông số'!$C$22)/2) / 1000</f>
        <v>1.2299999999999993</v>
      </c>
      <c r="H3" s="32">
        <f>('Bảng thông số'!$C$19 - 'Bảng thông số'!$C$20) * (('Bảng thông số'!$C$21 + 'Bảng thông số'!$C$22)/2) / 1000</f>
        <v>1.2299999999999993</v>
      </c>
      <c r="I3" s="32">
        <f>('Bảng thông số'!$C$19 - 'Bảng thông số'!$C$20) * (('Bảng thông số'!$C$21 + 'Bảng thông số'!$C$22)/2) / 1000</f>
        <v>1.2299999999999993</v>
      </c>
      <c r="J3" s="32">
        <f>('Bảng thông số'!$C$19 - 'Bảng thông số'!$C$20) * (('Bảng thông số'!$C$21 + 'Bảng thông số'!$C$22)/2) / 1000</f>
        <v>1.2299999999999993</v>
      </c>
      <c r="K3" s="32">
        <f>('Bảng thông số'!$C$19 - 'Bảng thông số'!$C$20) * (('Bảng thông số'!$C$21 + 'Bảng thông số'!$C$22)/2) / 1000</f>
        <v>1.2299999999999993</v>
      </c>
    </row>
    <row r="4" spans="1:11">
      <c r="A4" s="22" t="s">
        <v>67</v>
      </c>
      <c r="B4" s="22" t="s">
        <v>23</v>
      </c>
      <c r="C4" s="32">
        <v>0</v>
      </c>
      <c r="D4" s="32">
        <f>'Bảng thông số'!$C$20 * ('Bảng thông số'!$C$23 + 'Bảng thông số'!$C$24 + 'Bảng thông số'!$C$25) / 1000</f>
        <v>4.3615000000000004</v>
      </c>
      <c r="E4" s="32">
        <f>'Bảng thông số'!$C$20 * ('Bảng thông số'!$C$23 + 'Bảng thông số'!$C$24 + 'Bảng thông số'!$C$25) / 1000</f>
        <v>4.3615000000000004</v>
      </c>
      <c r="F4" s="32">
        <f>'Bảng thông số'!$C$20 * ('Bảng thông số'!$C$23 + 'Bảng thông số'!$C$24 + 'Bảng thông số'!$C$25) / 1000</f>
        <v>4.3615000000000004</v>
      </c>
      <c r="G4" s="32">
        <f>'Bảng thông số'!$C$20 * ('Bảng thông số'!$C$23 + 'Bảng thông số'!$C$24 + 'Bảng thông số'!$C$25) / 1000</f>
        <v>4.3615000000000004</v>
      </c>
      <c r="H4" s="32">
        <f>'Bảng thông số'!$C$20 * ('Bảng thông số'!$C$23 + 'Bảng thông số'!$C$24 + 'Bảng thông số'!$C$25) / 1000</f>
        <v>4.3615000000000004</v>
      </c>
      <c r="I4" s="32">
        <f>'Bảng thông số'!$C$20 * ('Bảng thông số'!$C$23 + 'Bảng thông số'!$C$24 + 'Bảng thông số'!$C$25) / 1000</f>
        <v>4.3615000000000004</v>
      </c>
      <c r="J4" s="32">
        <f>'Bảng thông số'!$C$20 * ('Bảng thông số'!$C$23 + 'Bảng thông số'!$C$24 + 'Bảng thông số'!$C$25) / 1000</f>
        <v>4.3615000000000004</v>
      </c>
      <c r="K4" s="32">
        <f>'Bảng thông số'!$C$20 * ('Bảng thông số'!$C$23 + 'Bảng thông số'!$C$24 + 'Bảng thông số'!$C$25) / 1000</f>
        <v>4.3615000000000004</v>
      </c>
    </row>
    <row r="5" spans="1:11">
      <c r="A5" s="22" t="s">
        <v>68</v>
      </c>
      <c r="B5" s="22" t="s">
        <v>23</v>
      </c>
      <c r="C5" s="32">
        <v>0</v>
      </c>
      <c r="D5" s="32">
        <f>'Bảng thông số'!$C$20 * 'Bảng thông số'!$C$26 * 'Bảng thông số'!$C$27 / 1000000</f>
        <v>1.0725</v>
      </c>
      <c r="E5" s="32">
        <f>'Bảng thông số'!$C$20 * 'Bảng thông số'!$C$26 * 'Bảng thông số'!$C$27 / 1000000</f>
        <v>1.0725</v>
      </c>
      <c r="F5" s="32">
        <f>'Bảng thông số'!$C$20 * 'Bảng thông số'!$C$26 * 'Bảng thông số'!$C$27 / 1000000</f>
        <v>1.0725</v>
      </c>
      <c r="G5" s="32">
        <f>'Bảng thông số'!$C$20 * 'Bảng thông số'!$C$26 * 'Bảng thông số'!$C$27 / 1000000</f>
        <v>1.0725</v>
      </c>
      <c r="H5" s="32">
        <f>'Bảng thông số'!$C$20 * 'Bảng thông số'!$C$26 * 'Bảng thông số'!$C$27 / 1000000</f>
        <v>1.0725</v>
      </c>
      <c r="I5" s="32">
        <f>'Bảng thông số'!$C$20 * 'Bảng thông số'!$C$26 * 'Bảng thông số'!$C$27 / 1000000</f>
        <v>1.0725</v>
      </c>
      <c r="J5" s="32">
        <f>'Bảng thông số'!$C$20 * 'Bảng thông số'!$C$26 * 'Bảng thông số'!$C$27 / 1000000</f>
        <v>1.0725</v>
      </c>
      <c r="K5" s="32">
        <f>'Bảng thông số'!$C$20 * 'Bảng thông số'!$C$26 * 'Bảng thông số'!$C$27 / 1000000</f>
        <v>1.0725</v>
      </c>
    </row>
    <row r="6" spans="1:11">
      <c r="A6" s="22" t="s">
        <v>69</v>
      </c>
      <c r="B6" s="22" t="s">
        <v>10</v>
      </c>
      <c r="C6" s="32">
        <v>0</v>
      </c>
      <c r="D6" s="32">
        <v>0</v>
      </c>
      <c r="E6" s="32">
        <v>0</v>
      </c>
      <c r="F6" s="32">
        <v>0</v>
      </c>
      <c r="G6" s="32">
        <v>0</v>
      </c>
      <c r="H6" s="32">
        <v>0</v>
      </c>
      <c r="I6" s="32">
        <v>0</v>
      </c>
      <c r="J6" s="32">
        <v>0</v>
      </c>
      <c r="K6" s="32">
        <f>'Bảng thông số'!$C$29 * ('Bảng thông số'!$C$3/((1+'Bảng thông số'!$F$3)*(1+'Bảng thông số'!$F$4)) + 'Bảng thông số'!$C$5/(1+'Bảng thông số'!$F$5))</f>
        <v>3.6071428571428563</v>
      </c>
    </row>
    <row r="7" spans="1:11">
      <c r="A7" s="9" t="s">
        <v>70</v>
      </c>
      <c r="B7" s="9" t="s">
        <v>23</v>
      </c>
      <c r="C7" s="10">
        <f>SUM(C3:C6)</f>
        <v>0</v>
      </c>
      <c r="D7" s="10">
        <f>SUM(D3:D6)</f>
        <v>6.6639999999999997</v>
      </c>
      <c r="E7" s="10">
        <f>SUM(E3:E6)</f>
        <v>6.6639999999999997</v>
      </c>
      <c r="F7" s="10">
        <f>SUM(F3:F6)</f>
        <v>6.6639999999999997</v>
      </c>
      <c r="G7" s="10">
        <f>SUM(G3:G6)</f>
        <v>6.6639999999999997</v>
      </c>
      <c r="H7" s="10">
        <f>SUM(H3:H6)</f>
        <v>6.6639999999999997</v>
      </c>
      <c r="I7" s="10">
        <f>SUM(I3:I6)</f>
        <v>6.6639999999999997</v>
      </c>
      <c r="J7" s="10">
        <f>SUM(J3:J6)</f>
        <v>6.6639999999999997</v>
      </c>
      <c r="K7" s="10">
        <f>SUM(K3:K6)</f>
        <v>10.271142857142856</v>
      </c>
    </row>
    <row r="8" spans="1:11">
      <c r="A8" s="12" t="s">
        <v>71</v>
      </c>
      <c r="B8" s="12" t="s">
        <v>23</v>
      </c>
      <c r="C8" s="31"/>
      <c r="D8" s="31"/>
      <c r="E8" s="31"/>
      <c r="F8" s="31"/>
      <c r="G8" s="31"/>
      <c r="H8" s="31"/>
      <c r="I8" s="31"/>
      <c r="J8" s="31"/>
      <c r="K8" s="31"/>
    </row>
    <row r="9" spans="1:11">
      <c r="A9" s="33" t="s">
        <v>72</v>
      </c>
      <c r="B9" s="33" t="s">
        <v>10</v>
      </c>
      <c r="C9" s="34">
        <f>SUM(C10:C13)</f>
        <v>26.487619047619042</v>
      </c>
      <c r="D9" s="34">
        <v>0</v>
      </c>
      <c r="E9" s="34">
        <v>0</v>
      </c>
      <c r="F9" s="34">
        <v>0</v>
      </c>
      <c r="G9" s="34">
        <v>0</v>
      </c>
      <c r="H9" s="34">
        <v>0</v>
      </c>
      <c r="I9" s="34">
        <v>0</v>
      </c>
      <c r="J9" s="34">
        <v>0</v>
      </c>
      <c r="K9" s="34">
        <v>0</v>
      </c>
    </row>
    <row r="10" spans="1:11">
      <c r="A10" s="33" t="s">
        <v>73</v>
      </c>
      <c r="B10" s="33" t="s">
        <v>10</v>
      </c>
      <c r="C10" s="34">
        <f>'Bảng thông số'!$C$3 / ((1+'Bảng thông số'!$F$3)*(1+'Bảng thông số'!$F$4))</f>
        <v>19.047619047619044</v>
      </c>
      <c r="D10" s="34">
        <v>0</v>
      </c>
      <c r="E10" s="34">
        <v>0</v>
      </c>
      <c r="F10" s="34">
        <v>0</v>
      </c>
      <c r="G10" s="34">
        <v>0</v>
      </c>
      <c r="H10" s="34">
        <v>0</v>
      </c>
      <c r="I10" s="34">
        <v>0</v>
      </c>
      <c r="J10" s="34">
        <v>0</v>
      </c>
      <c r="K10" s="34">
        <v>0</v>
      </c>
    </row>
    <row r="11" spans="1:11">
      <c r="A11" s="33" t="s">
        <v>74</v>
      </c>
      <c r="B11" s="33" t="s">
        <v>10</v>
      </c>
      <c r="C11" s="34">
        <f>'Bảng thông số'!$C$5 / (1+'Bảng thông số'!$F$5)</f>
        <v>5</v>
      </c>
      <c r="D11" s="34">
        <v>0</v>
      </c>
      <c r="E11" s="34">
        <v>0</v>
      </c>
      <c r="F11" s="34">
        <v>0</v>
      </c>
      <c r="G11" s="34">
        <v>0</v>
      </c>
      <c r="H11" s="34">
        <v>0</v>
      </c>
      <c r="I11" s="34">
        <v>0</v>
      </c>
      <c r="J11" s="34">
        <v>0</v>
      </c>
      <c r="K11" s="34">
        <v>0</v>
      </c>
    </row>
    <row r="12" spans="1:11">
      <c r="A12" s="33" t="s">
        <v>75</v>
      </c>
      <c r="B12" s="33" t="s">
        <v>10</v>
      </c>
      <c r="C12" s="34">
        <f>'Bảng thông số'!$C$6 * ('Bảng thông số'!$F$6*'Bảng thông số'!$G$6 + 'Bảng thông số'!$F$7*'Bảng thông số'!$G$7)</f>
        <v>2.04</v>
      </c>
      <c r="D12" s="34">
        <v>0</v>
      </c>
      <c r="E12" s="34">
        <v>0</v>
      </c>
      <c r="F12" s="34">
        <v>0</v>
      </c>
      <c r="G12" s="34">
        <v>0</v>
      </c>
      <c r="H12" s="34">
        <v>0</v>
      </c>
      <c r="I12" s="34">
        <v>0</v>
      </c>
      <c r="J12" s="34">
        <v>0</v>
      </c>
      <c r="K12" s="34">
        <v>0</v>
      </c>
    </row>
    <row r="13" spans="1:11">
      <c r="A13" s="33" t="s">
        <v>76</v>
      </c>
      <c r="B13" s="33" t="s">
        <v>10</v>
      </c>
      <c r="C13" s="34">
        <f>'Bảng thông số'!$F$8</f>
        <v>0.4</v>
      </c>
      <c r="D13" s="34">
        <v>0</v>
      </c>
      <c r="E13" s="34">
        <v>0</v>
      </c>
      <c r="F13" s="34">
        <v>0</v>
      </c>
      <c r="G13" s="34">
        <v>0</v>
      </c>
      <c r="H13" s="34">
        <v>0</v>
      </c>
      <c r="I13" s="34">
        <v>0</v>
      </c>
      <c r="J13" s="34">
        <v>0</v>
      </c>
      <c r="K13" s="34">
        <v>0</v>
      </c>
    </row>
    <row r="14" spans="1:11">
      <c r="A14" s="33" t="s">
        <v>77</v>
      </c>
      <c r="B14" s="33" t="s">
        <v>23</v>
      </c>
      <c r="C14" s="34">
        <v>0</v>
      </c>
      <c r="D14" s="34">
        <f>SUM(D15:D18)</f>
        <v>0.94709090909090898</v>
      </c>
      <c r="E14" s="34">
        <f>SUM(E15:E18)</f>
        <v>0.94709090909090898</v>
      </c>
      <c r="F14" s="34">
        <f>SUM(F15:F18)</f>
        <v>0.94709090909090898</v>
      </c>
      <c r="G14" s="34">
        <f>SUM(G15:G18)</f>
        <v>0.94709090909090898</v>
      </c>
      <c r="H14" s="34">
        <f>SUM(H15:H18)</f>
        <v>0.94709090909090898</v>
      </c>
      <c r="I14" s="34">
        <f>SUM(I15:I18)</f>
        <v>0.94709090909090898</v>
      </c>
      <c r="J14" s="34">
        <f>SUM(J15:J18)</f>
        <v>0.94709090909090898</v>
      </c>
      <c r="K14" s="34">
        <f>SUM(K15:K18)</f>
        <v>0.94709090909090898</v>
      </c>
    </row>
    <row r="15" spans="1:11">
      <c r="A15" s="33" t="s">
        <v>78</v>
      </c>
      <c r="B15" s="33" t="s">
        <v>23</v>
      </c>
      <c r="C15" s="34">
        <v>0</v>
      </c>
      <c r="D15" s="34">
        <f>'Bảng thông số'!$C$10 / (1+'Bảng thông số'!$F$10)</f>
        <v>0.40909090909090906</v>
      </c>
      <c r="E15" s="34">
        <f>'Bảng thông số'!$C$10 / (1+'Bảng thông số'!$F$10)</f>
        <v>0.40909090909090906</v>
      </c>
      <c r="F15" s="34">
        <f>'Bảng thông số'!$C$10 / (1+'Bảng thông số'!$F$10)</f>
        <v>0.40909090909090906</v>
      </c>
      <c r="G15" s="34">
        <f>'Bảng thông số'!$C$10 / (1+'Bảng thông số'!$F$10)</f>
        <v>0.40909090909090906</v>
      </c>
      <c r="H15" s="34">
        <f>'Bảng thông số'!$C$10 / (1+'Bảng thông số'!$F$10)</f>
        <v>0.40909090909090906</v>
      </c>
      <c r="I15" s="34">
        <f>'Bảng thông số'!$C$10 / (1+'Bảng thông số'!$F$10)</f>
        <v>0.40909090909090906</v>
      </c>
      <c r="J15" s="34">
        <f>'Bảng thông số'!$C$10 / (1+'Bảng thông số'!$F$10)</f>
        <v>0.40909090909090906</v>
      </c>
      <c r="K15" s="34">
        <f>'Bảng thông số'!$C$10 / (1+'Bảng thông số'!$F$10)</f>
        <v>0.40909090909090906</v>
      </c>
    </row>
    <row r="16" spans="1:11">
      <c r="A16" s="33" t="s">
        <v>79</v>
      </c>
      <c r="B16" s="33" t="s">
        <v>23</v>
      </c>
      <c r="C16" s="34">
        <v>0</v>
      </c>
      <c r="D16" s="34">
        <f>'Bảng thông số'!$C$11 * ('Bảng thông số'!$F$11*'Bảng thông số'!$G$11 + 'Bảng thông số'!$F$12*'Bảng thông số'!$G$12)</f>
        <v>0.30799999999999994</v>
      </c>
      <c r="E16" s="34">
        <f>'Bảng thông số'!$C$11 * ('Bảng thông số'!$F$11*'Bảng thông số'!$G$11 + 'Bảng thông số'!$F$12*'Bảng thông số'!$G$12)</f>
        <v>0.30799999999999994</v>
      </c>
      <c r="F16" s="34">
        <f>'Bảng thông số'!$C$11 * ('Bảng thông số'!$F$11*'Bảng thông số'!$G$11 + 'Bảng thông số'!$F$12*'Bảng thông số'!$G$12)</f>
        <v>0.30799999999999994</v>
      </c>
      <c r="G16" s="34">
        <f>'Bảng thông số'!$C$11 * ('Bảng thông số'!$F$11*'Bảng thông số'!$G$11 + 'Bảng thông số'!$F$12*'Bảng thông số'!$G$12)</f>
        <v>0.30799999999999994</v>
      </c>
      <c r="H16" s="34">
        <f>'Bảng thông số'!$C$11 * ('Bảng thông số'!$F$11*'Bảng thông số'!$G$11 + 'Bảng thông số'!$F$12*'Bảng thông số'!$G$12)</f>
        <v>0.30799999999999994</v>
      </c>
      <c r="I16" s="34">
        <f>'Bảng thông số'!$C$11 * ('Bảng thông số'!$F$11*'Bảng thông số'!$G$11 + 'Bảng thông số'!$F$12*'Bảng thông số'!$G$12)</f>
        <v>0.30799999999999994</v>
      </c>
      <c r="J16" s="34">
        <f>'Bảng thông số'!$C$11 * ('Bảng thông số'!$F$11*'Bảng thông số'!$G$11 + 'Bảng thông số'!$F$12*'Bảng thông số'!$G$12)</f>
        <v>0.30799999999999994</v>
      </c>
      <c r="K16" s="34">
        <f>'Bảng thông số'!$C$11 * ('Bảng thông số'!$F$11*'Bảng thông số'!$G$11 + 'Bảng thông số'!$F$12*'Bảng thông số'!$G$12)</f>
        <v>0.30799999999999994</v>
      </c>
    </row>
    <row r="17" spans="1:11">
      <c r="A17" s="33" t="s">
        <v>80</v>
      </c>
      <c r="B17" s="33" t="s">
        <v>23</v>
      </c>
      <c r="C17" s="34">
        <v>0</v>
      </c>
      <c r="D17" s="34">
        <f>'Bảng thông số'!$F$13</f>
        <v>0.15</v>
      </c>
      <c r="E17" s="34">
        <f>'Bảng thông số'!$F$13</f>
        <v>0.15</v>
      </c>
      <c r="F17" s="34">
        <f>'Bảng thông số'!$F$13</f>
        <v>0.15</v>
      </c>
      <c r="G17" s="34">
        <f>'Bảng thông số'!$F$13</f>
        <v>0.15</v>
      </c>
      <c r="H17" s="34">
        <f>'Bảng thông số'!$F$13</f>
        <v>0.15</v>
      </c>
      <c r="I17" s="34">
        <f>'Bảng thông số'!$F$13</f>
        <v>0.15</v>
      </c>
      <c r="J17" s="34">
        <f>'Bảng thông số'!$F$13</f>
        <v>0.15</v>
      </c>
      <c r="K17" s="34">
        <f>'Bảng thông số'!$F$13</f>
        <v>0.15</v>
      </c>
    </row>
    <row r="18" spans="1:11">
      <c r="A18" s="33" t="s">
        <v>81</v>
      </c>
      <c r="B18" s="33" t="s">
        <v>23</v>
      </c>
      <c r="C18" s="34">
        <v>0</v>
      </c>
      <c r="D18" s="34">
        <f>'Bảng thông số'!$F$14</f>
        <v>0.08</v>
      </c>
      <c r="E18" s="34">
        <f>'Bảng thông số'!$F$14</f>
        <v>0.08</v>
      </c>
      <c r="F18" s="34">
        <f>'Bảng thông số'!$F$14</f>
        <v>0.08</v>
      </c>
      <c r="G18" s="34">
        <f>'Bảng thông số'!$F$14</f>
        <v>0.08</v>
      </c>
      <c r="H18" s="34">
        <f>'Bảng thông số'!$F$14</f>
        <v>0.08</v>
      </c>
      <c r="I18" s="34">
        <f>'Bảng thông số'!$F$14</f>
        <v>0.08</v>
      </c>
      <c r="J18" s="34">
        <f>'Bảng thông số'!$F$14</f>
        <v>0.08</v>
      </c>
      <c r="K18" s="34">
        <f>'Bảng thông số'!$F$14</f>
        <v>0.08</v>
      </c>
    </row>
    <row r="19" spans="1:11">
      <c r="A19" s="33" t="s">
        <v>27</v>
      </c>
      <c r="B19" s="33" t="s">
        <v>10</v>
      </c>
      <c r="C19" s="34">
        <f>C20</f>
        <v>0</v>
      </c>
      <c r="D19" s="34">
        <f>D20</f>
        <v>0</v>
      </c>
      <c r="E19" s="34">
        <f>E20</f>
        <v>0</v>
      </c>
      <c r="F19" s="34">
        <f>F20</f>
        <v>0</v>
      </c>
      <c r="G19" s="34">
        <f>G20</f>
        <v>0</v>
      </c>
      <c r="H19" s="34">
        <f>H20</f>
        <v>2.8571428571428563</v>
      </c>
      <c r="I19" s="34">
        <f>I20</f>
        <v>0</v>
      </c>
      <c r="J19" s="34">
        <f>J20</f>
        <v>0</v>
      </c>
      <c r="K19" s="34">
        <f>K20</f>
        <v>0</v>
      </c>
    </row>
    <row r="20" spans="1:11">
      <c r="A20" s="33" t="s">
        <v>82</v>
      </c>
      <c r="B20" s="33" t="s">
        <v>10</v>
      </c>
      <c r="C20" s="34">
        <v>0</v>
      </c>
      <c r="D20" s="34">
        <v>0</v>
      </c>
      <c r="E20" s="34">
        <v>0</v>
      </c>
      <c r="F20" s="34">
        <v>0</v>
      </c>
      <c r="G20" s="34">
        <v>0</v>
      </c>
      <c r="H20" s="34">
        <f>'Bảng thông số'!$C$16 / ((1+'Bảng thông số'!$F$16)*(1+'Bảng thông số'!$F$17))</f>
        <v>2.8571428571428563</v>
      </c>
      <c r="I20" s="34">
        <v>0</v>
      </c>
      <c r="J20" s="34">
        <v>0</v>
      </c>
      <c r="K20" s="34">
        <v>0</v>
      </c>
    </row>
    <row r="21" spans="1:11">
      <c r="A21" s="9" t="s">
        <v>83</v>
      </c>
      <c r="B21" s="9" t="s">
        <v>23</v>
      </c>
      <c r="C21" s="10">
        <f>C9+C14+C19</f>
        <v>26.487619047619042</v>
      </c>
      <c r="D21" s="10">
        <f>D9+D14+D19</f>
        <v>0.94709090909090898</v>
      </c>
      <c r="E21" s="10">
        <f>E9+E14+E19</f>
        <v>0.94709090909090898</v>
      </c>
      <c r="F21" s="10">
        <f>F9+F14+F19</f>
        <v>0.94709090909090898</v>
      </c>
      <c r="G21" s="10">
        <f>G9+G14+G19</f>
        <v>0.94709090909090898</v>
      </c>
      <c r="H21" s="10">
        <f>H9+H14+H19</f>
        <v>3.8042337662337653</v>
      </c>
      <c r="I21" s="10">
        <f>I9+I14+I19</f>
        <v>0.94709090909090898</v>
      </c>
      <c r="J21" s="10">
        <f>J9+J14+J19</f>
        <v>0.94709090909090898</v>
      </c>
      <c r="K21" s="10">
        <f>K9+K14+K19</f>
        <v>0.94709090909090898</v>
      </c>
    </row>
    <row r="22" spans="1:11">
      <c r="A22" s="12" t="s">
        <v>84</v>
      </c>
      <c r="B22" s="12" t="s">
        <v>23</v>
      </c>
      <c r="C22" s="31"/>
      <c r="D22" s="31"/>
      <c r="E22" s="31"/>
      <c r="F22" s="31"/>
      <c r="G22" s="31"/>
      <c r="H22" s="31"/>
      <c r="I22" s="31"/>
      <c r="J22" s="31"/>
      <c r="K22" s="31"/>
    </row>
    <row r="23" spans="1:11">
      <c r="A23" s="9" t="s">
        <v>85</v>
      </c>
      <c r="B23" s="9" t="s">
        <v>23</v>
      </c>
      <c r="C23" s="10">
        <f>C7-C21</f>
        <v>-26.487619047619042</v>
      </c>
      <c r="D23" s="10">
        <f>D7-D21</f>
        <v>5.7169090909090912</v>
      </c>
      <c r="E23" s="10">
        <f>E7-E21</f>
        <v>5.7169090909090912</v>
      </c>
      <c r="F23" s="10">
        <f>F7-F21</f>
        <v>5.7169090909090912</v>
      </c>
      <c r="G23" s="10">
        <f>G7-G21</f>
        <v>5.7169090909090912</v>
      </c>
      <c r="H23" s="10">
        <f>H7-H21</f>
        <v>2.8597662337662344</v>
      </c>
      <c r="I23" s="10">
        <f>I7-I21</f>
        <v>5.7169090909090912</v>
      </c>
      <c r="J23" s="10">
        <f>J7-J21</f>
        <v>5.7169090909090912</v>
      </c>
      <c r="K23" s="10">
        <f>K7-K21</f>
        <v>9.324051948051947</v>
      </c>
    </row>
    <row r="24" spans="1:11">
      <c r="A24" s="12" t="s">
        <v>86</v>
      </c>
      <c r="B24" s="12"/>
      <c r="C24" s="31"/>
      <c r="D24" s="31"/>
      <c r="E24" s="31"/>
      <c r="F24" s="31"/>
      <c r="G24" s="31"/>
      <c r="H24" s="31"/>
      <c r="I24" s="31"/>
      <c r="J24" s="31"/>
      <c r="K24" s="31"/>
    </row>
    <row r="25" spans="1:11">
      <c r="A25" s="4" t="s">
        <v>87</v>
      </c>
      <c r="B25" s="4" t="s">
        <v>88</v>
      </c>
      <c r="C25" s="5">
        <f>'Bảng thông số'!$C$30</f>
        <v>0.08</v>
      </c>
      <c r="D25" s="5"/>
      <c r="E25" s="5"/>
      <c r="F25" s="5"/>
      <c r="G25" s="5"/>
      <c r="H25" s="5"/>
      <c r="I25" s="5"/>
      <c r="J25" s="5"/>
      <c r="K25" s="5"/>
    </row>
    <row r="26" spans="1:11">
      <c r="A26" s="35" t="s">
        <v>89</v>
      </c>
      <c r="B26" s="35" t="s">
        <v>10</v>
      </c>
      <c r="C26" s="36">
        <f>NPV(C25, D23:K23) + C23</f>
        <v>6.3696969995077382</v>
      </c>
      <c r="D26" s="7"/>
      <c r="E26" s="7"/>
      <c r="F26" s="7"/>
      <c r="G26" s="7"/>
      <c r="H26" s="7"/>
      <c r="I26" s="7"/>
      <c r="J26" s="7"/>
      <c r="K26" s="7"/>
    </row>
    <row r="27" spans="1:11">
      <c r="A27" s="35" t="s">
        <v>90</v>
      </c>
      <c r="B27" s="35" t="s">
        <v>10</v>
      </c>
      <c r="C27" s="36">
        <f>NPV(C25, D7:K7) + C7</f>
        <v>40.244428968653231</v>
      </c>
      <c r="D27" s="7"/>
      <c r="E27" s="7"/>
      <c r="F27" s="7"/>
      <c r="G27" s="7"/>
      <c r="H27" s="7"/>
      <c r="I27" s="7"/>
      <c r="J27" s="7"/>
      <c r="K27" s="7"/>
    </row>
    <row r="28" spans="1:11">
      <c r="A28" s="35" t="s">
        <v>91</v>
      </c>
      <c r="B28" s="35" t="s">
        <v>10</v>
      </c>
      <c r="C28" s="36">
        <f>NPV(C25, D21:K21) + C21</f>
        <v>33.874731969145493</v>
      </c>
      <c r="D28" s="7"/>
      <c r="E28" s="7"/>
      <c r="F28" s="7"/>
      <c r="G28" s="7"/>
      <c r="H28" s="7"/>
      <c r="I28" s="7"/>
      <c r="J28" s="7"/>
      <c r="K28" s="7"/>
    </row>
    <row r="29" spans="1:11">
      <c r="A29" s="35" t="s">
        <v>92</v>
      </c>
      <c r="B29" s="35" t="s">
        <v>93</v>
      </c>
      <c r="C29" s="36">
        <f>C27/C28</f>
        <v>1.1880368235919776</v>
      </c>
      <c r="D29" s="7"/>
      <c r="E29" s="7"/>
      <c r="F29" s="7"/>
      <c r="G29" s="7"/>
      <c r="H29" s="7"/>
      <c r="I29" s="7"/>
      <c r="J29" s="7"/>
      <c r="K29" s="7"/>
    </row>
    <row r="30" spans="1:11">
      <c r="A30" s="4" t="s">
        <v>94</v>
      </c>
      <c r="B30" s="4" t="s">
        <v>31</v>
      </c>
      <c r="C30" s="8">
        <v>0</v>
      </c>
      <c r="D30" s="8">
        <f>'Bảng thông số'!$C$19</f>
        <v>2.8</v>
      </c>
      <c r="E30" s="8">
        <f>'Bảng thông số'!$C$19</f>
        <v>2.8</v>
      </c>
      <c r="F30" s="8">
        <f>'Bảng thông số'!$C$19</f>
        <v>2.8</v>
      </c>
      <c r="G30" s="8">
        <f>'Bảng thông số'!$C$19</f>
        <v>2.8</v>
      </c>
      <c r="H30" s="8">
        <f>'Bảng thông số'!$C$19</f>
        <v>2.8</v>
      </c>
      <c r="I30" s="8">
        <f>'Bảng thông số'!$C$19</f>
        <v>2.8</v>
      </c>
      <c r="J30" s="8">
        <f>'Bảng thông số'!$C$19</f>
        <v>2.8</v>
      </c>
      <c r="K30" s="8">
        <f>'Bảng thông số'!$C$19</f>
        <v>2.8</v>
      </c>
    </row>
    <row r="31" spans="1:11">
      <c r="A31" s="1" t="s">
        <v>95</v>
      </c>
      <c r="B31" s="1" t="s">
        <v>34</v>
      </c>
      <c r="C31" s="2">
        <f>(C28 * 10^9) / (NPV(C25, D30:K30) * 10^6)</f>
        <v>2105.2512049010716</v>
      </c>
      <c r="D31" s="2"/>
      <c r="E31" s="2"/>
      <c r="F31" s="2"/>
      <c r="G31" s="2"/>
      <c r="H31" s="2"/>
      <c r="I31" s="2"/>
      <c r="J31" s="2"/>
      <c r="K31"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2026-09-22T07:28:49Z</dcterms:created>
  <dcterms:modified xsi:type="dcterms:W3CDTF">2026-09-22T09:28:20Z</dcterms:modified>
  <cp:category/>
  <cp:contentStatus/>
</cp:coreProperties>
</file>