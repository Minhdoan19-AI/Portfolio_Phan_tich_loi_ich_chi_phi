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32146C56-B92C-42F2-A12C-8982F064ADFE}" xr6:coauthVersionLast="47" xr6:coauthVersionMax="47" xr10:uidLastSave="{00000000-0000-0000-0000-000000000000}"/>
  <bookViews>
    <workbookView xWindow="0" yWindow="0" windowWidth="0" windowHeight="0" activeTab="2" xr2:uid="{00000000-000D-0000-FFFF-FFFF00000000}"/>
  </bookViews>
  <sheets>
    <sheet name="Dự án" sheetId="3" r:id="rId1"/>
    <sheet name="Bảng thông số" sheetId="1" r:id="rId2"/>
    <sheet name="Bảng tính"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2" l="1"/>
  <c r="L35" i="2"/>
  <c r="K35" i="2"/>
  <c r="J35" i="2"/>
  <c r="I35" i="2"/>
  <c r="H35" i="2"/>
  <c r="G35" i="2"/>
  <c r="F35" i="2"/>
  <c r="E35" i="2"/>
  <c r="D35" i="2"/>
  <c r="C30" i="2"/>
  <c r="M25" i="2"/>
  <c r="L25" i="2"/>
  <c r="K25" i="2"/>
  <c r="J25" i="2"/>
  <c r="I25" i="2"/>
  <c r="H25" i="2"/>
  <c r="G25" i="2"/>
  <c r="F25" i="2"/>
  <c r="E25" i="2"/>
  <c r="D25" i="2"/>
  <c r="M24" i="2"/>
  <c r="L24" i="2"/>
  <c r="K24" i="2"/>
  <c r="J24" i="2"/>
  <c r="I24" i="2"/>
  <c r="H24" i="2"/>
  <c r="G24" i="2"/>
  <c r="F24" i="2"/>
  <c r="E24" i="2"/>
  <c r="D24" i="2"/>
  <c r="M23" i="2"/>
  <c r="L23" i="2"/>
  <c r="K23" i="2"/>
  <c r="J23" i="2"/>
  <c r="I23" i="2"/>
  <c r="H23" i="2"/>
  <c r="G23" i="2"/>
  <c r="F23" i="2"/>
  <c r="E23" i="2"/>
  <c r="D23" i="2"/>
  <c r="M22" i="2"/>
  <c r="L22" i="2"/>
  <c r="K22" i="2"/>
  <c r="J22" i="2"/>
  <c r="I22" i="2"/>
  <c r="H22" i="2"/>
  <c r="G22" i="2"/>
  <c r="F22" i="2"/>
  <c r="E22" i="2"/>
  <c r="D22" i="2"/>
  <c r="M21" i="2"/>
  <c r="L21" i="2"/>
  <c r="K21" i="2"/>
  <c r="J21" i="2"/>
  <c r="I21" i="2"/>
  <c r="H21" i="2"/>
  <c r="G21" i="2"/>
  <c r="F21" i="2"/>
  <c r="E21" i="2"/>
  <c r="D21" i="2"/>
  <c r="M20" i="2"/>
  <c r="M26" i="2" s="1"/>
  <c r="L20" i="2"/>
  <c r="L26" i="2" s="1"/>
  <c r="K20" i="2"/>
  <c r="K26" i="2" s="1"/>
  <c r="J20" i="2"/>
  <c r="J26" i="2" s="1"/>
  <c r="I20" i="2"/>
  <c r="I26" i="2" s="1"/>
  <c r="H20" i="2"/>
  <c r="H26" i="2" s="1"/>
  <c r="G20" i="2"/>
  <c r="G26" i="2" s="1"/>
  <c r="F20" i="2"/>
  <c r="F26" i="2" s="1"/>
  <c r="E20" i="2"/>
  <c r="E26" i="2" s="1"/>
  <c r="D20" i="2"/>
  <c r="D26" i="2" s="1"/>
  <c r="M19" i="2"/>
  <c r="L19" i="2"/>
  <c r="K19" i="2"/>
  <c r="J19" i="2"/>
  <c r="I19" i="2"/>
  <c r="H19" i="2"/>
  <c r="G19" i="2"/>
  <c r="F19" i="2"/>
  <c r="E19" i="2"/>
  <c r="D19" i="2"/>
  <c r="C18" i="2"/>
  <c r="C17" i="2"/>
  <c r="C16" i="2"/>
  <c r="C15" i="2"/>
  <c r="C26" i="2" s="1"/>
  <c r="C13" i="2"/>
  <c r="C28" i="2" s="1"/>
  <c r="M12" i="2"/>
  <c r="M11" i="2"/>
  <c r="M10" i="2"/>
  <c r="M9" i="2"/>
  <c r="L9" i="2"/>
  <c r="K9" i="2"/>
  <c r="J9" i="2"/>
  <c r="I9" i="2"/>
  <c r="H9" i="2"/>
  <c r="G9" i="2"/>
  <c r="F9" i="2"/>
  <c r="E9" i="2"/>
  <c r="D9" i="2"/>
  <c r="M8" i="2"/>
  <c r="L8" i="2"/>
  <c r="K8" i="2"/>
  <c r="J8" i="2"/>
  <c r="I8" i="2"/>
  <c r="H8" i="2"/>
  <c r="G8" i="2"/>
  <c r="F8" i="2"/>
  <c r="E8" i="2"/>
  <c r="D8" i="2"/>
  <c r="M7" i="2"/>
  <c r="L7" i="2"/>
  <c r="K7" i="2"/>
  <c r="J7" i="2"/>
  <c r="I7" i="2"/>
  <c r="H7" i="2"/>
  <c r="G7" i="2"/>
  <c r="F7" i="2"/>
  <c r="E7" i="2"/>
  <c r="D7" i="2"/>
  <c r="M6" i="2"/>
  <c r="L6" i="2"/>
  <c r="K6" i="2"/>
  <c r="J6" i="2"/>
  <c r="I6" i="2"/>
  <c r="H6" i="2"/>
  <c r="G6" i="2"/>
  <c r="F6" i="2"/>
  <c r="E6" i="2"/>
  <c r="D6" i="2"/>
  <c r="M5" i="2"/>
  <c r="L5" i="2"/>
  <c r="K5" i="2"/>
  <c r="J5" i="2"/>
  <c r="I5" i="2"/>
  <c r="H5" i="2"/>
  <c r="G5" i="2"/>
  <c r="F5" i="2"/>
  <c r="E5" i="2"/>
  <c r="D5" i="2"/>
  <c r="M4" i="2"/>
  <c r="L4" i="2"/>
  <c r="K4" i="2"/>
  <c r="J4" i="2"/>
  <c r="I4" i="2"/>
  <c r="H4" i="2"/>
  <c r="G4" i="2"/>
  <c r="F4" i="2"/>
  <c r="E4" i="2"/>
  <c r="D4" i="2"/>
  <c r="M3" i="2"/>
  <c r="M13" i="2" s="1"/>
  <c r="M28" i="2" s="1"/>
  <c r="L3" i="2"/>
  <c r="L13" i="2" s="1"/>
  <c r="L28" i="2" s="1"/>
  <c r="K3" i="2"/>
  <c r="K13" i="2" s="1"/>
  <c r="K28" i="2" s="1"/>
  <c r="J3" i="2"/>
  <c r="J13" i="2" s="1"/>
  <c r="J28" i="2" s="1"/>
  <c r="I3" i="2"/>
  <c r="I13" i="2" s="1"/>
  <c r="I28" i="2" s="1"/>
  <c r="H3" i="2"/>
  <c r="H13" i="2" s="1"/>
  <c r="H28" i="2" s="1"/>
  <c r="G3" i="2"/>
  <c r="G13" i="2" s="1"/>
  <c r="G28" i="2" s="1"/>
  <c r="F3" i="2"/>
  <c r="F13" i="2" s="1"/>
  <c r="F28" i="2" s="1"/>
  <c r="E3" i="2"/>
  <c r="E13" i="2" s="1"/>
  <c r="E28" i="2" s="1"/>
  <c r="D3" i="2"/>
  <c r="D13" i="2" s="1"/>
  <c r="D28" i="2" s="1"/>
  <c r="C33" i="2" l="1"/>
  <c r="C36" i="2" s="1"/>
  <c r="C32" i="2"/>
  <c r="C34" i="2" s="1"/>
  <c r="C31" i="2"/>
</calcChain>
</file>

<file path=xl/sharedStrings.xml><?xml version="1.0" encoding="utf-8"?>
<sst xmlns="http://schemas.openxmlformats.org/spreadsheetml/2006/main" count="156" uniqueCount="93">
  <si>
    <t>Đề 01
UBND huyện xem xét đầu tư trạm xử lý nước sạch công suất 1,2 triệu m3/năm. Dự án vận hành trong 10 năm, tỉ lệ chiết khấu xã hội thực là 8%/năm.
Dự án được đầu tư vào năm 0 gồm các chi phí:
- Xây dựng dân dụng 25 tỷ đồng, trong đó gồm VAT 10%.
- Thiết bị xử lý được nhập khẩu với giá 18 tỷ đồng, gồm thuế nhập khẩu 5% và VAT 10%.
- Lao động xây dựng 6 tỷ đồng, trong đó 60% là lao động nông nhàn có tiền công bằng 55% mức thu nhập trong dự án, 40% là lao động đang có việc làm với thu nhập bằng mức thu nhập trong dự án.
- Bồi thường hoa lợi trên đất 4 tỷ đồng. Các nông hộ đang được giao đất canh tác và bị mất sản lượng nông nghiệp ròng 0,35 tỷ/năm trong 10 năm khi đất giao về dự án.
Giá trị còn lại cuối năm 10 bằng 20% giá trị kinh tế của xây dựng dân dụng và thiết bị nhập khẩu.
Khi dự án đi vào vận hành, các chi phí phát sinh hàng năm bao gồm:
- Điện phải trả 1,4 tỷ đồng đã bao gồm 10% thuế VAT và 5% thuế nhiên liệu, trong đó thuế nhiên liệu được tính trên toàn giá trị sau VAT.
- Hóa chất nhập khẩu 1,1 tỷ đồng, gồm thuế nhập khẩu 5% và VAT 10%.
- Lao động kỹ thuật 1,2 tỷ đồng. Đây là các lao động đang có việc làm tương đương. Lao động phổ thông 0,8 tỷ đồng, trong đó 70% là lao động thất nghiệp sẵn sàng nhận tối thiểu 60% tiền công, 30% là lao động đang có việc làm tương đương.
- Bảo trì trong nước 0,64 tỷ đồng, thuế VAT phải trả 10%.
Dự án khi hoàn thành sẽ cung cấp nước sạch khoảng 1,2 triệu m3 mỗi năm và nước sạch thuộc mặt hàng được kiểm soát tình trạng độc quyền. Nếu không có nguồn nước này, những người dân nơi đây sử dụng nước giếng hay mua nước từ xe bồn với chi phí khoảng 8.400 đồng/m3 và còn tốn thêm chi phí đun sôi, lọc, xử lý nước khoảng 1.600 đồng/m3, và các khoản VAT 10%, vậy nên họ sử dụng rất tiết kiệm và chỉ dùng khoảng 0,75 triệu m3/năm. Vậy nên khi có dự án, vì nước sạch hơn và chi phí thấp hơn, những người dân này có mức giá sẵn lòng trả trong khoảng 8.500 - 12.500 đồng/m3 và tổng lượng dùng có thể lên đến ngưỡng 1,2 triệu m3/năm.
1/ Nhận dạng lợi ích và chi phí có thể có của dự án. (2 điểm)
2/ Lập bảng thông số của dự án. (2 điểm)
3/ Lập bảng tính lợi ích kinh tế hàng năm của dự án, chi phí kinh tế của mỗi loại đầu vào trong năm xây dựng và trong năm vận hành. (3.75 điểm)
4/ Tính NPV và B/C của dự án. Diễn giải kết quả dự án. (1.5 điểm)
5/ Tính giá kinh tế mỗi m3 nước sạch. (0.75 điểm)</t>
  </si>
  <si>
    <t>Chỉ tiêu</t>
  </si>
  <si>
    <t>Đvt</t>
  </si>
  <si>
    <t>Năm 0</t>
  </si>
  <si>
    <t>Năm 1</t>
  </si>
  <si>
    <t>Ghi chú 1</t>
  </si>
  <si>
    <t>Ghi chú 2</t>
  </si>
  <si>
    <t>Ghi chú 3</t>
  </si>
  <si>
    <t>Ghi chú 4</t>
  </si>
  <si>
    <t>Giai đoạn xây dựng</t>
  </si>
  <si>
    <t>Xây dựng dân dụng</t>
  </si>
  <si>
    <t>tỷ đồng</t>
  </si>
  <si>
    <t>đã gồm</t>
  </si>
  <si>
    <t>thuế VAT</t>
  </si>
  <si>
    <t>Thiết bị xử lý, nhập khẩu</t>
  </si>
  <si>
    <t>thuế nhập khẩu</t>
  </si>
  <si>
    <t>Lao động xây dựng</t>
  </si>
  <si>
    <t>trong đó</t>
  </si>
  <si>
    <t>từ lao động nông nhàn</t>
  </si>
  <si>
    <t>từ lao động đang có việc làm</t>
  </si>
  <si>
    <t>Bồi thường hoa lợi</t>
  </si>
  <si>
    <t>mất sản lượng</t>
  </si>
  <si>
    <t>tỷ đồng/năm</t>
  </si>
  <si>
    <t>Giai đoạn vận hành</t>
  </si>
  <si>
    <t>Điện</t>
  </si>
  <si>
    <t>thuế nhiên liệu</t>
  </si>
  <si>
    <t>trên giá trị sau VAT</t>
  </si>
  <si>
    <t>Hóa chất, nhập khẩu</t>
  </si>
  <si>
    <t>Lao động kỹ thuật</t>
  </si>
  <si>
    <t>Lao động phổ thông</t>
  </si>
  <si>
    <t>từ lao động thất nghiệp</t>
  </si>
  <si>
    <t>Bảo trì trong nước</t>
  </si>
  <si>
    <t>chưa gồm</t>
  </si>
  <si>
    <t>Đầu ra</t>
  </si>
  <si>
    <t>Sản lượng tiêu thụ từ dự án</t>
  </si>
  <si>
    <t>triệu m3/năm</t>
  </si>
  <si>
    <t>Giá sẵn lòng trả</t>
  </si>
  <si>
    <t>đồng/m3</t>
  </si>
  <si>
    <t>Tiêu thụ từ nguồn nước hiện hữu</t>
  </si>
  <si>
    <t>Giá nước từ nguồn nước hiện hữu</t>
  </si>
  <si>
    <t>Chi phí xử lý nguồn nước hiện hữu</t>
  </si>
  <si>
    <t>Giá trị còn lại</t>
  </si>
  <si>
    <t>giá trị kinh tế</t>
  </si>
  <si>
    <t>Thiết bị nhập khẩu</t>
  </si>
  <si>
    <t>Suất chiết khấu</t>
  </si>
  <si>
    <t>Hạng mục</t>
  </si>
  <si>
    <t>ĐVT</t>
  </si>
  <si>
    <t>0</t>
  </si>
  <si>
    <t>1</t>
  </si>
  <si>
    <t>2</t>
  </si>
  <si>
    <t>3</t>
  </si>
  <si>
    <t>4</t>
  </si>
  <si>
    <t>5</t>
  </si>
  <si>
    <t>6</t>
  </si>
  <si>
    <t>7</t>
  </si>
  <si>
    <t>8</t>
  </si>
  <si>
    <t>9</t>
  </si>
  <si>
    <t>10</t>
  </si>
  <si>
    <t>I. LỢI ÍCH KINH TẾ</t>
  </si>
  <si>
    <t>1. Giá trị sản lượng, phần tăng thêm</t>
  </si>
  <si>
    <t xml:space="preserve">  - Sản lượng tăng thêm</t>
  </si>
  <si>
    <t xml:space="preserve">  - Giá sẵn lòng trả</t>
  </si>
  <si>
    <t>2. Giá trị sản lượng, phần thay thế</t>
  </si>
  <si>
    <t xml:space="preserve">  - Sản lượng thay thế</t>
  </si>
  <si>
    <t xml:space="preserve">  - Chi phí mua nước hiện hữu</t>
  </si>
  <si>
    <t xml:space="preserve">  - Chi phí xử lý nước hiện hữu</t>
  </si>
  <si>
    <t>3. Giá trị còn lại</t>
  </si>
  <si>
    <t xml:space="preserve">  - Xây dựng dân dụng</t>
  </si>
  <si>
    <t xml:space="preserve">  - Thiết bị nhập khẩu</t>
  </si>
  <si>
    <t>TỔNG LỢI ÍCH (B)</t>
  </si>
  <si>
    <t>II. CHI PHÍ KINH TẾ</t>
  </si>
  <si>
    <t>1. Giai đoạn xây dựng</t>
  </si>
  <si>
    <t xml:space="preserve">  - Thiết bị xử lý</t>
  </si>
  <si>
    <t xml:space="preserve">  - Lao động xây dựng</t>
  </si>
  <si>
    <t>2. Giai đoạn vận hành</t>
  </si>
  <si>
    <t xml:space="preserve">  - Thiệt hại hoa lợi (mất sản lượng)</t>
  </si>
  <si>
    <t xml:space="preserve">  - Điện</t>
  </si>
  <si>
    <t xml:space="preserve">  - Hóa chất</t>
  </si>
  <si>
    <t xml:space="preserve">  - LĐ kỹ thuật</t>
  </si>
  <si>
    <t xml:space="preserve">  - LĐ phổ thông</t>
  </si>
  <si>
    <t xml:space="preserve">  - Bảo trì</t>
  </si>
  <si>
    <t>TỔNG CHI PHÍ (C)</t>
  </si>
  <si>
    <t>III. LỢI ÍCH RÒNG</t>
  </si>
  <si>
    <t>LỢI ÍCH RÒNG (B - C)</t>
  </si>
  <si>
    <t>IV. CHỈ TIÊU KINH TẾ</t>
  </si>
  <si>
    <t>%</t>
  </si>
  <si>
    <t>NPV</t>
  </si>
  <si>
    <t>NPV B</t>
  </si>
  <si>
    <t>NPV C</t>
  </si>
  <si>
    <t>B/C</t>
  </si>
  <si>
    <t>lần</t>
  </si>
  <si>
    <t>Phụ trợ: Sản lượng tiêu thụ</t>
  </si>
  <si>
    <t>Giá kinh tế bình quân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</si>
</sst>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1"/>
      <name val="Calibri"/>
    </font>
    <font>
      <sz val="11"/>
      <color rgb="FF000000"/>
      <name val="Calibri"/>
      <family val="2"/>
    </font>
  </fonts>
  <fills count="10">
    <fill>
      <patternFill patternType="none"/>
    </fill>
    <fill>
      <patternFill patternType="gray125"/>
    </fill>
    <fill>
      <patternFill patternType="solid">
        <fgColor rgb="FF4F81BD"/>
      </patternFill>
    </fill>
    <fill>
      <patternFill patternType="solid">
        <fgColor rgb="FFE6E6E6"/>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4" fontId="2" fillId="0" borderId="0" xfId="0" applyNumberFormat="1" applyFont="1"/>
    <xf numFmtId="0" fontId="3" fillId="0" borderId="0" xfId="0" applyFont="1" applyBorder="1" applyAlignment="1">
      <alignment wrapText="1"/>
    </xf>
    <xf numFmtId="0" fontId="1" fillId="2" borderId="1" xfId="0" applyFont="1" applyFill="1" applyBorder="1"/>
    <xf numFmtId="0" fontId="2" fillId="0" borderId="1" xfId="0" applyFont="1" applyBorder="1"/>
    <xf numFmtId="0" fontId="0" fillId="0" borderId="1" xfId="0" applyBorder="1"/>
    <xf numFmtId="9" fontId="0" fillId="0" borderId="1" xfId="0" applyNumberFormat="1" applyBorder="1"/>
    <xf numFmtId="0" fontId="0" fillId="4" borderId="1" xfId="0" applyFill="1" applyBorder="1"/>
    <xf numFmtId="3" fontId="0" fillId="4" borderId="1" xfId="0" applyNumberFormat="1" applyFill="1" applyBorder="1"/>
    <xf numFmtId="0" fontId="0" fillId="5" borderId="1" xfId="0" applyFill="1" applyBorder="1"/>
    <xf numFmtId="9" fontId="0" fillId="5" borderId="1" xfId="0" applyNumberFormat="1" applyFill="1" applyBorder="1"/>
    <xf numFmtId="0" fontId="2" fillId="6" borderId="1" xfId="0" applyFont="1" applyFill="1" applyBorder="1"/>
    <xf numFmtId="0" fontId="0" fillId="6" borderId="1" xfId="0" applyFill="1" applyBorder="1"/>
    <xf numFmtId="9" fontId="0" fillId="6" borderId="1" xfId="0" applyNumberFormat="1" applyFill="1" applyBorder="1"/>
    <xf numFmtId="0" fontId="0" fillId="0" borderId="2" xfId="0" applyBorder="1" applyAlignment="1">
      <alignment horizontal="left" vertical="center"/>
    </xf>
    <xf numFmtId="0" fontId="0" fillId="0" borderId="3" xfId="0" applyBorder="1" applyAlignment="1">
      <alignment horizontal="left" vertical="center"/>
    </xf>
    <xf numFmtId="0" fontId="0" fillId="4" borderId="2" xfId="0" applyFill="1" applyBorder="1" applyAlignment="1">
      <alignment horizontal="center"/>
    </xf>
    <xf numFmtId="0" fontId="0" fillId="4" borderId="3" xfId="0" applyFill="1" applyBorder="1" applyAlignment="1">
      <alignment horizontal="center"/>
    </xf>
    <xf numFmtId="0" fontId="0" fillId="4" borderId="2" xfId="0" applyFill="1" applyBorder="1" applyAlignment="1">
      <alignment horizontal="left" vertical="center"/>
    </xf>
    <xf numFmtId="0" fontId="0" fillId="4" borderId="3" xfId="0" applyFill="1" applyBorder="1" applyAlignment="1">
      <alignment horizontal="left" vertical="center"/>
    </xf>
    <xf numFmtId="0" fontId="0" fillId="4" borderId="2" xfId="0" applyFill="1" applyBorder="1" applyAlignment="1">
      <alignment horizontal="right" vertical="center"/>
    </xf>
    <xf numFmtId="0" fontId="0" fillId="4" borderId="3" xfId="0" applyFill="1" applyBorder="1" applyAlignment="1">
      <alignment horizontal="right" vertical="center"/>
    </xf>
    <xf numFmtId="0" fontId="0" fillId="5" borderId="2" xfId="0" applyFill="1" applyBorder="1" applyAlignment="1">
      <alignment horizontal="left" vertical="center"/>
    </xf>
    <xf numFmtId="0" fontId="0" fillId="5" borderId="3" xfId="0" applyFill="1" applyBorder="1" applyAlignment="1">
      <alignment horizontal="left" vertical="center"/>
    </xf>
    <xf numFmtId="0" fontId="1" fillId="2" borderId="1" xfId="0" applyFont="1" applyFill="1" applyBorder="1" applyAlignment="1">
      <alignment horizontal="center"/>
    </xf>
    <xf numFmtId="0" fontId="2" fillId="7" borderId="1" xfId="0" applyFont="1" applyFill="1" applyBorder="1"/>
    <xf numFmtId="4" fontId="2" fillId="7" borderId="1" xfId="0" applyNumberFormat="1" applyFont="1" applyFill="1" applyBorder="1"/>
    <xf numFmtId="4" fontId="0" fillId="4" borderId="1" xfId="0" applyNumberFormat="1" applyFill="1" applyBorder="1"/>
    <xf numFmtId="0" fontId="2" fillId="3" borderId="1" xfId="0" applyFont="1" applyFill="1" applyBorder="1"/>
    <xf numFmtId="4" fontId="2" fillId="3" borderId="1" xfId="0" applyNumberFormat="1" applyFont="1" applyFill="1" applyBorder="1"/>
    <xf numFmtId="0" fontId="0" fillId="8" borderId="1" xfId="0" applyFill="1" applyBorder="1"/>
    <xf numFmtId="4" fontId="0" fillId="8" borderId="1" xfId="0" applyNumberFormat="1" applyFill="1" applyBorder="1"/>
    <xf numFmtId="0" fontId="2" fillId="9" borderId="1" xfId="0" applyFont="1" applyFill="1" applyBorder="1"/>
    <xf numFmtId="4" fontId="2" fillId="9" borderId="1" xfId="0" applyNumberFormat="1" applyFont="1" applyFill="1" applyBorder="1"/>
    <xf numFmtId="4" fontId="2" fillId="0" borderId="1" xfId="0" applyNumberFormat="1" applyFont="1" applyBorder="1"/>
    <xf numFmtId="4" fontId="0" fillId="0" borderId="1" xfId="0" applyNumberFormat="1" applyBorder="1"/>
    <xf numFmtId="0" fontId="0" fillId="0" borderId="2" xfId="0" applyBorder="1"/>
    <xf numFmtId="4" fontId="0" fillId="0" borderId="2" xfId="0" applyNumberFormat="1" applyBorder="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80AC-9881-4C7A-90EB-37731A82E822}">
  <dimension ref="A1:O27"/>
  <sheetViews>
    <sheetView workbookViewId="0">
      <selection activeCell="J16" sqref="J16"/>
    </sheetView>
  </sheetViews>
  <sheetFormatPr defaultRowHeight="15"/>
  <sheetData>
    <row r="1" spans="1:15">
      <c r="A1" s="2" t="s">
        <v>0</v>
      </c>
      <c r="B1" s="2"/>
      <c r="C1" s="2"/>
      <c r="D1" s="2"/>
      <c r="E1" s="2"/>
      <c r="F1" s="2"/>
      <c r="G1" s="2"/>
      <c r="H1" s="2"/>
      <c r="I1" s="2"/>
      <c r="J1" s="2"/>
      <c r="K1" s="2"/>
      <c r="L1" s="2"/>
      <c r="M1" s="2"/>
      <c r="N1" s="2"/>
      <c r="O1" s="2"/>
    </row>
    <row r="2" spans="1:15">
      <c r="A2" s="2"/>
      <c r="B2" s="2"/>
      <c r="C2" s="2"/>
      <c r="D2" s="2"/>
      <c r="E2" s="2"/>
      <c r="F2" s="2"/>
      <c r="G2" s="2"/>
      <c r="H2" s="2"/>
      <c r="I2" s="2"/>
      <c r="J2" s="2"/>
      <c r="K2" s="2"/>
      <c r="L2" s="2"/>
      <c r="M2" s="2"/>
      <c r="N2" s="2"/>
      <c r="O2" s="2"/>
    </row>
    <row r="3" spans="1:15">
      <c r="A3" s="2"/>
      <c r="B3" s="2"/>
      <c r="C3" s="2"/>
      <c r="D3" s="2"/>
      <c r="E3" s="2"/>
      <c r="F3" s="2"/>
      <c r="G3" s="2"/>
      <c r="H3" s="2"/>
      <c r="I3" s="2"/>
      <c r="J3" s="2"/>
      <c r="K3" s="2"/>
      <c r="L3" s="2"/>
      <c r="M3" s="2"/>
      <c r="N3" s="2"/>
      <c r="O3" s="2"/>
    </row>
    <row r="4" spans="1:15">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7" spans="1:15">
      <c r="A7" s="2"/>
      <c r="B7" s="2"/>
      <c r="C7" s="2"/>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c r="A9" s="2"/>
      <c r="B9" s="2"/>
      <c r="C9" s="2"/>
      <c r="D9" s="2"/>
      <c r="E9" s="2"/>
      <c r="F9" s="2"/>
      <c r="G9" s="2"/>
      <c r="H9" s="2"/>
      <c r="I9" s="2"/>
      <c r="J9" s="2"/>
      <c r="K9" s="2"/>
      <c r="L9" s="2"/>
      <c r="M9" s="2"/>
      <c r="N9" s="2"/>
      <c r="O9" s="2"/>
    </row>
    <row r="10" spans="1:15">
      <c r="A10" s="2"/>
      <c r="B10" s="2"/>
      <c r="C10" s="2"/>
      <c r="D10" s="2"/>
      <c r="E10" s="2"/>
      <c r="F10" s="2"/>
      <c r="G10" s="2"/>
      <c r="H10" s="2"/>
      <c r="I10" s="2"/>
      <c r="J10" s="2"/>
      <c r="K10" s="2"/>
      <c r="L10" s="2"/>
      <c r="M10" s="2"/>
      <c r="N10" s="2"/>
      <c r="O10" s="2"/>
    </row>
    <row r="11" spans="1:15">
      <c r="A11" s="2"/>
      <c r="B11" s="2"/>
      <c r="C11" s="2"/>
      <c r="D11" s="2"/>
      <c r="E11" s="2"/>
      <c r="F11" s="2"/>
      <c r="G11" s="2"/>
      <c r="H11" s="2"/>
      <c r="I11" s="2"/>
      <c r="J11" s="2"/>
      <c r="K11" s="2"/>
      <c r="L11" s="2"/>
      <c r="M11" s="2"/>
      <c r="N11" s="2"/>
      <c r="O11" s="2"/>
    </row>
    <row r="12" spans="1:15">
      <c r="A12" s="2"/>
      <c r="B12" s="2"/>
      <c r="C12" s="2"/>
      <c r="D12" s="2"/>
      <c r="E12" s="2"/>
      <c r="F12" s="2"/>
      <c r="G12" s="2"/>
      <c r="H12" s="2"/>
      <c r="I12" s="2"/>
      <c r="J12" s="2"/>
      <c r="K12" s="2"/>
      <c r="L12" s="2"/>
      <c r="M12" s="2"/>
      <c r="N12" s="2"/>
      <c r="O12" s="2"/>
    </row>
    <row r="13" spans="1:15">
      <c r="A13" s="2"/>
      <c r="B13" s="2"/>
      <c r="C13" s="2"/>
      <c r="D13" s="2"/>
      <c r="E13" s="2"/>
      <c r="F13" s="2"/>
      <c r="G13" s="2"/>
      <c r="H13" s="2"/>
      <c r="I13" s="2"/>
      <c r="J13" s="2"/>
      <c r="K13" s="2"/>
      <c r="L13" s="2"/>
      <c r="M13" s="2"/>
      <c r="N13" s="2"/>
      <c r="O13" s="2"/>
    </row>
    <row r="14" spans="1:15">
      <c r="A14" s="2"/>
      <c r="B14" s="2"/>
      <c r="C14" s="2"/>
      <c r="D14" s="2"/>
      <c r="E14" s="2"/>
      <c r="F14" s="2"/>
      <c r="G14" s="2"/>
      <c r="H14" s="2"/>
      <c r="I14" s="2"/>
      <c r="J14" s="2"/>
      <c r="K14" s="2"/>
      <c r="L14" s="2"/>
      <c r="M14" s="2"/>
      <c r="N14" s="2"/>
      <c r="O14" s="2"/>
    </row>
    <row r="15" spans="1:15">
      <c r="A15" s="2"/>
      <c r="B15" s="2"/>
      <c r="C15" s="2"/>
      <c r="D15" s="2"/>
      <c r="E15" s="2"/>
      <c r="F15" s="2"/>
      <c r="G15" s="2"/>
      <c r="H15" s="2"/>
      <c r="I15" s="2"/>
      <c r="J15" s="2"/>
      <c r="K15" s="2"/>
      <c r="L15" s="2"/>
      <c r="M15" s="2"/>
      <c r="N15" s="2"/>
      <c r="O15" s="2"/>
    </row>
    <row r="16" spans="1:15">
      <c r="A16" s="2"/>
      <c r="B16" s="2"/>
      <c r="C16" s="2"/>
      <c r="D16" s="2"/>
      <c r="E16" s="2"/>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c r="A18" s="2"/>
      <c r="B18" s="2"/>
      <c r="C18" s="2"/>
      <c r="D18" s="2"/>
      <c r="E18" s="2"/>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spans="1:15">
      <c r="A21" s="2"/>
      <c r="B21" s="2"/>
      <c r="C21" s="2"/>
      <c r="D21" s="2"/>
      <c r="E21" s="2"/>
      <c r="F21" s="2"/>
      <c r="G21" s="2"/>
      <c r="H21" s="2"/>
      <c r="I21" s="2"/>
      <c r="J21" s="2"/>
      <c r="K21" s="2"/>
      <c r="L21" s="2"/>
      <c r="M21" s="2"/>
      <c r="N21" s="2"/>
      <c r="O21" s="2"/>
    </row>
    <row r="22" spans="1:15">
      <c r="A22" s="2"/>
      <c r="B22" s="2"/>
      <c r="C22" s="2"/>
      <c r="D22" s="2"/>
      <c r="E22" s="2"/>
      <c r="F22" s="2"/>
      <c r="G22" s="2"/>
      <c r="H22" s="2"/>
      <c r="I22" s="2"/>
      <c r="J22" s="2"/>
      <c r="K22" s="2"/>
      <c r="L22" s="2"/>
      <c r="M22" s="2"/>
      <c r="N22" s="2"/>
      <c r="O22" s="2"/>
    </row>
    <row r="23" spans="1:15">
      <c r="A23" s="2"/>
      <c r="B23" s="2"/>
      <c r="C23" s="2"/>
      <c r="D23" s="2"/>
      <c r="E23" s="2"/>
      <c r="F23" s="2"/>
      <c r="G23" s="2"/>
      <c r="H23" s="2"/>
      <c r="I23" s="2"/>
      <c r="J23" s="2"/>
      <c r="K23" s="2"/>
      <c r="L23" s="2"/>
      <c r="M23" s="2"/>
      <c r="N23" s="2"/>
      <c r="O23" s="2"/>
    </row>
    <row r="24" spans="1:15">
      <c r="A24" s="2"/>
      <c r="B24" s="2"/>
      <c r="C24" s="2"/>
      <c r="D24" s="2"/>
      <c r="E24" s="2"/>
      <c r="F24" s="2"/>
      <c r="G24" s="2"/>
      <c r="H24" s="2"/>
      <c r="I24" s="2"/>
      <c r="J24" s="2"/>
      <c r="K24" s="2"/>
      <c r="L24" s="2"/>
      <c r="M24" s="2"/>
      <c r="N24" s="2"/>
      <c r="O24" s="2"/>
    </row>
    <row r="25" spans="1:15">
      <c r="A25" s="2"/>
      <c r="B25" s="2"/>
      <c r="C25" s="2"/>
      <c r="D25" s="2"/>
      <c r="E25" s="2"/>
      <c r="F25" s="2"/>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2"/>
      <c r="B27" s="2"/>
      <c r="C27" s="2"/>
      <c r="D27" s="2"/>
      <c r="E27" s="2"/>
      <c r="F27" s="2"/>
      <c r="G27" s="2"/>
      <c r="H27" s="2"/>
      <c r="I27" s="2"/>
      <c r="J27" s="2"/>
      <c r="K27" s="2"/>
      <c r="L27" s="2"/>
      <c r="M27" s="2"/>
      <c r="N27" s="2"/>
      <c r="O27" s="2"/>
    </row>
  </sheetData>
  <mergeCells count="1">
    <mergeCell ref="A1:O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workbookViewId="0">
      <selection activeCell="J10" sqref="J10"/>
    </sheetView>
  </sheetViews>
  <sheetFormatPr defaultRowHeight="15"/>
  <cols>
    <col min="1" max="1" width="35" customWidth="1"/>
    <col min="2" max="2" width="15" customWidth="1"/>
    <col min="3" max="4" width="10" customWidth="1"/>
    <col min="5" max="5" width="12" customWidth="1"/>
    <col min="6" max="6" width="28" customWidth="1"/>
    <col min="7" max="7" width="12" customWidth="1"/>
    <col min="8" max="8" width="20" customWidth="1"/>
  </cols>
  <sheetData>
    <row r="1" spans="1:8">
      <c r="A1" s="3" t="s">
        <v>1</v>
      </c>
      <c r="B1" s="3" t="s">
        <v>2</v>
      </c>
      <c r="C1" s="3" t="s">
        <v>3</v>
      </c>
      <c r="D1" s="3" t="s">
        <v>4</v>
      </c>
      <c r="E1" s="3" t="s">
        <v>5</v>
      </c>
      <c r="F1" s="3" t="s">
        <v>6</v>
      </c>
      <c r="G1" s="3" t="s">
        <v>7</v>
      </c>
      <c r="H1" s="3" t="s">
        <v>8</v>
      </c>
    </row>
    <row r="2" spans="1:8">
      <c r="A2" s="4" t="s">
        <v>9</v>
      </c>
      <c r="B2" s="5"/>
      <c r="C2" s="7"/>
      <c r="D2" s="7"/>
      <c r="E2" s="9"/>
      <c r="F2" s="9"/>
      <c r="G2" s="9"/>
      <c r="H2" s="9"/>
    </row>
    <row r="3" spans="1:8">
      <c r="A3" s="5" t="s">
        <v>10</v>
      </c>
      <c r="B3" s="5" t="s">
        <v>11</v>
      </c>
      <c r="C3" s="7">
        <v>25</v>
      </c>
      <c r="D3" s="7"/>
      <c r="E3" s="9" t="s">
        <v>12</v>
      </c>
      <c r="F3" s="9" t="s">
        <v>13</v>
      </c>
      <c r="G3" s="10">
        <v>0.1</v>
      </c>
      <c r="H3" s="9"/>
    </row>
    <row r="4" spans="1:8">
      <c r="A4" s="14" t="s">
        <v>14</v>
      </c>
      <c r="B4" s="14" t="s">
        <v>11</v>
      </c>
      <c r="C4" s="20">
        <v>18</v>
      </c>
      <c r="D4" s="16"/>
      <c r="E4" s="22" t="s">
        <v>12</v>
      </c>
      <c r="F4" s="9" t="s">
        <v>15</v>
      </c>
      <c r="G4" s="10">
        <v>0.05</v>
      </c>
      <c r="H4" s="9"/>
    </row>
    <row r="5" spans="1:8">
      <c r="A5" s="15"/>
      <c r="B5" s="15"/>
      <c r="C5" s="21"/>
      <c r="D5" s="17"/>
      <c r="E5" s="23"/>
      <c r="F5" s="9" t="s">
        <v>13</v>
      </c>
      <c r="G5" s="10">
        <v>0.1</v>
      </c>
      <c r="H5" s="9"/>
    </row>
    <row r="6" spans="1:8">
      <c r="A6" s="14" t="s">
        <v>16</v>
      </c>
      <c r="B6" s="14" t="s">
        <v>11</v>
      </c>
      <c r="C6" s="20">
        <v>6</v>
      </c>
      <c r="D6" s="18"/>
      <c r="E6" s="22" t="s">
        <v>17</v>
      </c>
      <c r="F6" s="9" t="s">
        <v>18</v>
      </c>
      <c r="G6" s="10">
        <v>0.6</v>
      </c>
      <c r="H6" s="10">
        <v>0.55000000000000004</v>
      </c>
    </row>
    <row r="7" spans="1:8">
      <c r="A7" s="15"/>
      <c r="B7" s="15"/>
      <c r="C7" s="21"/>
      <c r="D7" s="19"/>
      <c r="E7" s="23"/>
      <c r="F7" s="9" t="s">
        <v>19</v>
      </c>
      <c r="G7" s="10">
        <v>0.4</v>
      </c>
      <c r="H7" s="10">
        <v>1</v>
      </c>
    </row>
    <row r="8" spans="1:8">
      <c r="A8" s="5" t="s">
        <v>20</v>
      </c>
      <c r="B8" s="5" t="s">
        <v>11</v>
      </c>
      <c r="C8" s="7">
        <v>4</v>
      </c>
      <c r="D8" s="7"/>
      <c r="E8" s="9"/>
      <c r="F8" s="9" t="s">
        <v>21</v>
      </c>
      <c r="G8" s="9">
        <v>0.35</v>
      </c>
      <c r="H8" s="9" t="s">
        <v>22</v>
      </c>
    </row>
    <row r="9" spans="1:8">
      <c r="A9" s="4" t="s">
        <v>23</v>
      </c>
      <c r="B9" s="5"/>
      <c r="C9" s="7"/>
      <c r="D9" s="7"/>
      <c r="E9" s="9"/>
      <c r="F9" s="9"/>
      <c r="G9" s="9"/>
      <c r="H9" s="9"/>
    </row>
    <row r="10" spans="1:8">
      <c r="A10" s="5" t="s">
        <v>24</v>
      </c>
      <c r="B10" s="5" t="s">
        <v>22</v>
      </c>
      <c r="C10" s="7"/>
      <c r="D10" s="7">
        <v>1.4</v>
      </c>
      <c r="E10" s="9" t="s">
        <v>12</v>
      </c>
      <c r="F10" s="9" t="s">
        <v>13</v>
      </c>
      <c r="G10" s="10">
        <v>0.1</v>
      </c>
      <c r="H10" s="9"/>
    </row>
    <row r="11" spans="1:8">
      <c r="A11" s="5"/>
      <c r="B11" s="5"/>
      <c r="C11" s="7"/>
      <c r="D11" s="7"/>
      <c r="E11" s="9"/>
      <c r="F11" s="9" t="s">
        <v>25</v>
      </c>
      <c r="G11" s="10">
        <v>0.05</v>
      </c>
      <c r="H11" s="9" t="s">
        <v>26</v>
      </c>
    </row>
    <row r="12" spans="1:8">
      <c r="A12" s="5" t="s">
        <v>27</v>
      </c>
      <c r="B12" s="5" t="s">
        <v>22</v>
      </c>
      <c r="C12" s="7"/>
      <c r="D12" s="7">
        <v>1.1000000000000001</v>
      </c>
      <c r="E12" s="9" t="s">
        <v>12</v>
      </c>
      <c r="F12" s="9" t="s">
        <v>15</v>
      </c>
      <c r="G12" s="10">
        <v>0.05</v>
      </c>
      <c r="H12" s="9"/>
    </row>
    <row r="13" spans="1:8">
      <c r="A13" s="5"/>
      <c r="B13" s="5"/>
      <c r="C13" s="7"/>
      <c r="D13" s="7"/>
      <c r="E13" s="9"/>
      <c r="F13" s="9" t="s">
        <v>13</v>
      </c>
      <c r="G13" s="10">
        <v>0.1</v>
      </c>
      <c r="H13" s="9"/>
    </row>
    <row r="14" spans="1:8">
      <c r="A14" s="5" t="s">
        <v>28</v>
      </c>
      <c r="B14" s="5" t="s">
        <v>22</v>
      </c>
      <c r="C14" s="7"/>
      <c r="D14" s="7">
        <v>1.2</v>
      </c>
      <c r="E14" s="9" t="s">
        <v>17</v>
      </c>
      <c r="F14" s="9" t="s">
        <v>19</v>
      </c>
      <c r="G14" s="10">
        <v>1</v>
      </c>
      <c r="H14" s="10">
        <v>1</v>
      </c>
    </row>
    <row r="15" spans="1:8">
      <c r="A15" s="5" t="s">
        <v>29</v>
      </c>
      <c r="B15" s="5" t="s">
        <v>22</v>
      </c>
      <c r="C15" s="7"/>
      <c r="D15" s="7">
        <v>0.8</v>
      </c>
      <c r="E15" s="9" t="s">
        <v>17</v>
      </c>
      <c r="F15" s="9" t="s">
        <v>30</v>
      </c>
      <c r="G15" s="10">
        <v>0.7</v>
      </c>
      <c r="H15" s="10">
        <v>0.6</v>
      </c>
    </row>
    <row r="16" spans="1:8">
      <c r="A16" s="5"/>
      <c r="B16" s="5"/>
      <c r="C16" s="7"/>
      <c r="D16" s="7"/>
      <c r="E16" s="9"/>
      <c r="F16" s="9" t="s">
        <v>19</v>
      </c>
      <c r="G16" s="10">
        <v>0.3</v>
      </c>
      <c r="H16" s="10">
        <v>1</v>
      </c>
    </row>
    <row r="17" spans="1:8">
      <c r="A17" s="5" t="s">
        <v>31</v>
      </c>
      <c r="B17" s="5" t="s">
        <v>22</v>
      </c>
      <c r="C17" s="7"/>
      <c r="D17" s="7">
        <v>0.64</v>
      </c>
      <c r="E17" s="9" t="s">
        <v>32</v>
      </c>
      <c r="F17" s="9" t="s">
        <v>13</v>
      </c>
      <c r="G17" s="10">
        <v>0.1</v>
      </c>
      <c r="H17" s="9"/>
    </row>
    <row r="18" spans="1:8">
      <c r="A18" s="4" t="s">
        <v>33</v>
      </c>
      <c r="B18" s="5"/>
      <c r="C18" s="7"/>
      <c r="D18" s="7"/>
      <c r="E18" s="9"/>
      <c r="F18" s="9"/>
      <c r="G18" s="9"/>
      <c r="H18" s="9"/>
    </row>
    <row r="19" spans="1:8">
      <c r="A19" s="5" t="s">
        <v>34</v>
      </c>
      <c r="B19" s="5" t="s">
        <v>35</v>
      </c>
      <c r="C19" s="7"/>
      <c r="D19" s="7">
        <v>1.2</v>
      </c>
      <c r="E19" s="9"/>
      <c r="F19" s="9"/>
      <c r="G19" s="9"/>
      <c r="H19" s="9"/>
    </row>
    <row r="20" spans="1:8">
      <c r="A20" s="5" t="s">
        <v>36</v>
      </c>
      <c r="B20" s="5" t="s">
        <v>37</v>
      </c>
      <c r="C20" s="8">
        <v>8500</v>
      </c>
      <c r="D20" s="8">
        <v>12500</v>
      </c>
      <c r="E20" s="9"/>
      <c r="F20" s="9"/>
      <c r="G20" s="9"/>
      <c r="H20" s="9"/>
    </row>
    <row r="21" spans="1:8">
      <c r="A21" s="5" t="s">
        <v>38</v>
      </c>
      <c r="B21" s="5" t="s">
        <v>35</v>
      </c>
      <c r="C21" s="7"/>
      <c r="D21" s="7">
        <v>0.75</v>
      </c>
      <c r="E21" s="9"/>
      <c r="F21" s="9"/>
      <c r="G21" s="9"/>
      <c r="H21" s="9"/>
    </row>
    <row r="22" spans="1:8">
      <c r="A22" s="5" t="s">
        <v>39</v>
      </c>
      <c r="B22" s="5" t="s">
        <v>37</v>
      </c>
      <c r="C22" s="8">
        <v>8400</v>
      </c>
      <c r="D22" s="7"/>
      <c r="E22" s="9" t="s">
        <v>32</v>
      </c>
      <c r="F22" s="9" t="s">
        <v>13</v>
      </c>
      <c r="G22" s="9">
        <v>0.1</v>
      </c>
      <c r="H22" s="9"/>
    </row>
    <row r="23" spans="1:8">
      <c r="A23" s="5" t="s">
        <v>40</v>
      </c>
      <c r="B23" s="5" t="s">
        <v>37</v>
      </c>
      <c r="C23" s="8">
        <v>1600</v>
      </c>
      <c r="D23" s="7"/>
      <c r="E23" s="9" t="s">
        <v>32</v>
      </c>
      <c r="F23" s="9" t="s">
        <v>13</v>
      </c>
      <c r="G23" s="9">
        <v>0.1</v>
      </c>
      <c r="H23" s="9"/>
    </row>
    <row r="24" spans="1:8">
      <c r="A24" s="11" t="s">
        <v>41</v>
      </c>
      <c r="B24" s="12"/>
      <c r="C24" s="12"/>
      <c r="D24" s="12"/>
      <c r="E24" s="12"/>
      <c r="F24" s="12"/>
      <c r="G24" s="12"/>
      <c r="H24" s="12"/>
    </row>
    <row r="25" spans="1:8">
      <c r="A25" s="12" t="s">
        <v>10</v>
      </c>
      <c r="B25" s="12"/>
      <c r="C25" s="12"/>
      <c r="D25" s="12"/>
      <c r="E25" s="13">
        <v>0.2</v>
      </c>
      <c r="F25" s="12" t="s">
        <v>42</v>
      </c>
      <c r="G25" s="12"/>
      <c r="H25" s="12"/>
    </row>
    <row r="26" spans="1:8">
      <c r="A26" s="12" t="s">
        <v>43</v>
      </c>
      <c r="B26" s="12"/>
      <c r="C26" s="12"/>
      <c r="D26" s="12"/>
      <c r="E26" s="13">
        <v>0.2</v>
      </c>
      <c r="F26" s="12" t="s">
        <v>42</v>
      </c>
      <c r="G26" s="12"/>
      <c r="H26" s="12"/>
    </row>
    <row r="27" spans="1:8">
      <c r="A27" s="11" t="s">
        <v>44</v>
      </c>
      <c r="B27" s="12"/>
      <c r="C27" s="13">
        <v>0.08</v>
      </c>
      <c r="D27" s="12"/>
      <c r="E27" s="12"/>
      <c r="F27" s="12"/>
      <c r="G27" s="12"/>
      <c r="H27" s="12"/>
    </row>
  </sheetData>
  <mergeCells count="10">
    <mergeCell ref="A4:A5"/>
    <mergeCell ref="B4:B5"/>
    <mergeCell ref="C4:C5"/>
    <mergeCell ref="D4:D5"/>
    <mergeCell ref="E4:E5"/>
    <mergeCell ref="A6:A7"/>
    <mergeCell ref="B6:B7"/>
    <mergeCell ref="C6:C7"/>
    <mergeCell ref="D6:D7"/>
    <mergeCell ref="E6:E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tabSelected="1" topLeftCell="A21" workbookViewId="0">
      <selection activeCell="D39" sqref="D39"/>
    </sheetView>
  </sheetViews>
  <sheetFormatPr defaultRowHeight="15"/>
  <cols>
    <col min="1" max="1" width="45" customWidth="1"/>
    <col min="2" max="2" width="15" customWidth="1"/>
    <col min="3" max="13" width="13" customWidth="1"/>
  </cols>
  <sheetData>
    <row r="1" spans="1:13">
      <c r="A1" s="24" t="s">
        <v>45</v>
      </c>
      <c r="B1" s="24" t="s">
        <v>46</v>
      </c>
      <c r="C1" s="24" t="s">
        <v>47</v>
      </c>
      <c r="D1" s="24" t="s">
        <v>48</v>
      </c>
      <c r="E1" s="24" t="s">
        <v>49</v>
      </c>
      <c r="F1" s="24" t="s">
        <v>50</v>
      </c>
      <c r="G1" s="24" t="s">
        <v>51</v>
      </c>
      <c r="H1" s="24" t="s">
        <v>52</v>
      </c>
      <c r="I1" s="24" t="s">
        <v>53</v>
      </c>
      <c r="J1" s="24" t="s">
        <v>54</v>
      </c>
      <c r="K1" s="24" t="s">
        <v>55</v>
      </c>
      <c r="L1" s="24" t="s">
        <v>56</v>
      </c>
      <c r="M1" s="24" t="s">
        <v>57</v>
      </c>
    </row>
    <row r="2" spans="1:13">
      <c r="A2" s="25" t="s">
        <v>58</v>
      </c>
      <c r="B2" s="25" t="s">
        <v>22</v>
      </c>
      <c r="C2" s="26"/>
      <c r="D2" s="26"/>
      <c r="E2" s="26"/>
      <c r="F2" s="26"/>
      <c r="G2" s="26"/>
      <c r="H2" s="26"/>
      <c r="I2" s="26"/>
      <c r="J2" s="26"/>
      <c r="K2" s="26"/>
      <c r="L2" s="26"/>
      <c r="M2" s="26"/>
    </row>
    <row r="3" spans="1:13">
      <c r="A3" s="7" t="s">
        <v>59</v>
      </c>
      <c r="B3" s="7" t="s">
        <v>22</v>
      </c>
      <c r="C3" s="27">
        <v>0</v>
      </c>
      <c r="D3" s="27">
        <f>(D4*D5)/1000</f>
        <v>5.6249999999999991</v>
      </c>
      <c r="E3" s="27">
        <f>(E4*E5)/1000</f>
        <v>5.6249999999999991</v>
      </c>
      <c r="F3" s="27">
        <f>(F4*F5)/1000</f>
        <v>5.6249999999999991</v>
      </c>
      <c r="G3" s="27">
        <f>(G4*G5)/1000</f>
        <v>5.6249999999999991</v>
      </c>
      <c r="H3" s="27">
        <f>(H4*H5)/1000</f>
        <v>5.6249999999999991</v>
      </c>
      <c r="I3" s="27">
        <f>(I4*I5)/1000</f>
        <v>5.6249999999999991</v>
      </c>
      <c r="J3" s="27">
        <f>(J4*J5)/1000</f>
        <v>5.6249999999999991</v>
      </c>
      <c r="K3" s="27">
        <f>(K4*K5)/1000</f>
        <v>5.6249999999999991</v>
      </c>
      <c r="L3" s="27">
        <f>(L4*L5)/1000</f>
        <v>5.6249999999999991</v>
      </c>
      <c r="M3" s="27">
        <f>(M4*M5)/1000</f>
        <v>5.6249999999999991</v>
      </c>
    </row>
    <row r="4" spans="1:13">
      <c r="A4" s="7" t="s">
        <v>60</v>
      </c>
      <c r="B4" s="7" t="s">
        <v>35</v>
      </c>
      <c r="C4" s="27">
        <v>0</v>
      </c>
      <c r="D4" s="27">
        <f>'Bảng thông số'!$D$19 - 'Bảng thông số'!$D$21</f>
        <v>0.44999999999999996</v>
      </c>
      <c r="E4" s="27">
        <f>'Bảng thông số'!$D$19 - 'Bảng thông số'!$D$21</f>
        <v>0.44999999999999996</v>
      </c>
      <c r="F4" s="27">
        <f>'Bảng thông số'!$D$19 - 'Bảng thông số'!$D$21</f>
        <v>0.44999999999999996</v>
      </c>
      <c r="G4" s="27">
        <f>'Bảng thông số'!$D$19 - 'Bảng thông số'!$D$21</f>
        <v>0.44999999999999996</v>
      </c>
      <c r="H4" s="27">
        <f>'Bảng thông số'!$D$19 - 'Bảng thông số'!$D$21</f>
        <v>0.44999999999999996</v>
      </c>
      <c r="I4" s="27">
        <f>'Bảng thông số'!$D$19 - 'Bảng thông số'!$D$21</f>
        <v>0.44999999999999996</v>
      </c>
      <c r="J4" s="27">
        <f>'Bảng thông số'!$D$19 - 'Bảng thông số'!$D$21</f>
        <v>0.44999999999999996</v>
      </c>
      <c r="K4" s="27">
        <f>'Bảng thông số'!$D$19 - 'Bảng thông số'!$D$21</f>
        <v>0.44999999999999996</v>
      </c>
      <c r="L4" s="27">
        <f>'Bảng thông số'!$D$19 - 'Bảng thông số'!$D$21</f>
        <v>0.44999999999999996</v>
      </c>
      <c r="M4" s="27">
        <f>'Bảng thông số'!$D$19 - 'Bảng thông số'!$D$21</f>
        <v>0.44999999999999996</v>
      </c>
    </row>
    <row r="5" spans="1:13">
      <c r="A5" s="7" t="s">
        <v>61</v>
      </c>
      <c r="B5" s="7" t="s">
        <v>37</v>
      </c>
      <c r="C5" s="27">
        <v>0</v>
      </c>
      <c r="D5" s="27">
        <f>'Bảng thông số'!$D$20</f>
        <v>12500</v>
      </c>
      <c r="E5" s="27">
        <f>'Bảng thông số'!$D$20</f>
        <v>12500</v>
      </c>
      <c r="F5" s="27">
        <f>'Bảng thông số'!$D$20</f>
        <v>12500</v>
      </c>
      <c r="G5" s="27">
        <f>'Bảng thông số'!$D$20</f>
        <v>12500</v>
      </c>
      <c r="H5" s="27">
        <f>'Bảng thông số'!$D$20</f>
        <v>12500</v>
      </c>
      <c r="I5" s="27">
        <f>'Bảng thông số'!$D$20</f>
        <v>12500</v>
      </c>
      <c r="J5" s="27">
        <f>'Bảng thông số'!$D$20</f>
        <v>12500</v>
      </c>
      <c r="K5" s="27">
        <f>'Bảng thông số'!$D$20</f>
        <v>12500</v>
      </c>
      <c r="L5" s="27">
        <f>'Bảng thông số'!$D$20</f>
        <v>12500</v>
      </c>
      <c r="M5" s="27">
        <f>'Bảng thông số'!$D$20</f>
        <v>12500</v>
      </c>
    </row>
    <row r="6" spans="1:13">
      <c r="A6" s="7" t="s">
        <v>62</v>
      </c>
      <c r="B6" s="7" t="s">
        <v>22</v>
      </c>
      <c r="C6" s="27">
        <v>0</v>
      </c>
      <c r="D6" s="27">
        <f>D7*(D8+D9)/1000</f>
        <v>7.5</v>
      </c>
      <c r="E6" s="27">
        <f>E7*(E8+E9)/1000</f>
        <v>7.5</v>
      </c>
      <c r="F6" s="27">
        <f>F7*(F8+F9)/1000</f>
        <v>7.5</v>
      </c>
      <c r="G6" s="27">
        <f>G7*(G8+G9)/1000</f>
        <v>7.5</v>
      </c>
      <c r="H6" s="27">
        <f>H7*(H8+H9)/1000</f>
        <v>7.5</v>
      </c>
      <c r="I6" s="27">
        <f>I7*(I8+I9)/1000</f>
        <v>7.5</v>
      </c>
      <c r="J6" s="27">
        <f>J7*(J8+J9)/1000</f>
        <v>7.5</v>
      </c>
      <c r="K6" s="27">
        <f>K7*(K8+K9)/1000</f>
        <v>7.5</v>
      </c>
      <c r="L6" s="27">
        <f>L7*(L8+L9)/1000</f>
        <v>7.5</v>
      </c>
      <c r="M6" s="27">
        <f>M7*(M8+M9)/1000</f>
        <v>7.5</v>
      </c>
    </row>
    <row r="7" spans="1:13">
      <c r="A7" s="7" t="s">
        <v>63</v>
      </c>
      <c r="B7" s="7" t="s">
        <v>35</v>
      </c>
      <c r="C7" s="27">
        <v>0</v>
      </c>
      <c r="D7" s="27">
        <f>'Bảng thông số'!$D$21</f>
        <v>0.75</v>
      </c>
      <c r="E7" s="27">
        <f>'Bảng thông số'!$D$21</f>
        <v>0.75</v>
      </c>
      <c r="F7" s="27">
        <f>'Bảng thông số'!$D$21</f>
        <v>0.75</v>
      </c>
      <c r="G7" s="27">
        <f>'Bảng thông số'!$D$21</f>
        <v>0.75</v>
      </c>
      <c r="H7" s="27">
        <f>'Bảng thông số'!$D$21</f>
        <v>0.75</v>
      </c>
      <c r="I7" s="27">
        <f>'Bảng thông số'!$D$21</f>
        <v>0.75</v>
      </c>
      <c r="J7" s="27">
        <f>'Bảng thông số'!$D$21</f>
        <v>0.75</v>
      </c>
      <c r="K7" s="27">
        <f>'Bảng thông số'!$D$21</f>
        <v>0.75</v>
      </c>
      <c r="L7" s="27">
        <f>'Bảng thông số'!$D$21</f>
        <v>0.75</v>
      </c>
      <c r="M7" s="27">
        <f>'Bảng thông số'!$D$21</f>
        <v>0.75</v>
      </c>
    </row>
    <row r="8" spans="1:13">
      <c r="A8" s="7" t="s">
        <v>64</v>
      </c>
      <c r="B8" s="7" t="s">
        <v>37</v>
      </c>
      <c r="C8" s="27">
        <v>0</v>
      </c>
      <c r="D8" s="27">
        <f>'Bảng thông số'!$C$22</f>
        <v>8400</v>
      </c>
      <c r="E8" s="27">
        <f>'Bảng thông số'!$C$22</f>
        <v>8400</v>
      </c>
      <c r="F8" s="27">
        <f>'Bảng thông số'!$C$22</f>
        <v>8400</v>
      </c>
      <c r="G8" s="27">
        <f>'Bảng thông số'!$C$22</f>
        <v>8400</v>
      </c>
      <c r="H8" s="27">
        <f>'Bảng thông số'!$C$22</f>
        <v>8400</v>
      </c>
      <c r="I8" s="27">
        <f>'Bảng thông số'!$C$22</f>
        <v>8400</v>
      </c>
      <c r="J8" s="27">
        <f>'Bảng thông số'!$C$22</f>
        <v>8400</v>
      </c>
      <c r="K8" s="27">
        <f>'Bảng thông số'!$C$22</f>
        <v>8400</v>
      </c>
      <c r="L8" s="27">
        <f>'Bảng thông số'!$C$22</f>
        <v>8400</v>
      </c>
      <c r="M8" s="27">
        <f>'Bảng thông số'!$C$22</f>
        <v>8400</v>
      </c>
    </row>
    <row r="9" spans="1:13">
      <c r="A9" s="7" t="s">
        <v>65</v>
      </c>
      <c r="B9" s="7" t="s">
        <v>37</v>
      </c>
      <c r="C9" s="27">
        <v>0</v>
      </c>
      <c r="D9" s="27">
        <f>'Bảng thông số'!$C$23</f>
        <v>1600</v>
      </c>
      <c r="E9" s="27">
        <f>'Bảng thông số'!$C$23</f>
        <v>1600</v>
      </c>
      <c r="F9" s="27">
        <f>'Bảng thông số'!$C$23</f>
        <v>1600</v>
      </c>
      <c r="G9" s="27">
        <f>'Bảng thông số'!$C$23</f>
        <v>1600</v>
      </c>
      <c r="H9" s="27">
        <f>'Bảng thông số'!$C$23</f>
        <v>1600</v>
      </c>
      <c r="I9" s="27">
        <f>'Bảng thông số'!$C$23</f>
        <v>1600</v>
      </c>
      <c r="J9" s="27">
        <f>'Bảng thông số'!$C$23</f>
        <v>1600</v>
      </c>
      <c r="K9" s="27">
        <f>'Bảng thông số'!$C$23</f>
        <v>1600</v>
      </c>
      <c r="L9" s="27">
        <f>'Bảng thông số'!$C$23</f>
        <v>1600</v>
      </c>
      <c r="M9" s="27">
        <f>'Bảng thông số'!$C$23</f>
        <v>1600</v>
      </c>
    </row>
    <row r="10" spans="1:13">
      <c r="A10" s="7" t="s">
        <v>66</v>
      </c>
      <c r="B10" s="7" t="s">
        <v>11</v>
      </c>
      <c r="C10" s="27">
        <v>0</v>
      </c>
      <c r="D10" s="27">
        <v>0</v>
      </c>
      <c r="E10" s="27">
        <v>0</v>
      </c>
      <c r="F10" s="27">
        <v>0</v>
      </c>
      <c r="G10" s="27">
        <v>0</v>
      </c>
      <c r="H10" s="27">
        <v>0</v>
      </c>
      <c r="I10" s="27">
        <v>0</v>
      </c>
      <c r="J10" s="27">
        <v>0</v>
      </c>
      <c r="K10" s="27">
        <v>0</v>
      </c>
      <c r="L10" s="27">
        <v>0</v>
      </c>
      <c r="M10" s="27">
        <f>M11+M12</f>
        <v>7.662337662337662</v>
      </c>
    </row>
    <row r="11" spans="1:13">
      <c r="A11" s="7" t="s">
        <v>67</v>
      </c>
      <c r="B11" s="7" t="s">
        <v>11</v>
      </c>
      <c r="C11" s="27">
        <v>0</v>
      </c>
      <c r="D11" s="27">
        <v>0</v>
      </c>
      <c r="E11" s="27">
        <v>0</v>
      </c>
      <c r="F11" s="27">
        <v>0</v>
      </c>
      <c r="G11" s="27">
        <v>0</v>
      </c>
      <c r="H11" s="27">
        <v>0</v>
      </c>
      <c r="I11" s="27">
        <v>0</v>
      </c>
      <c r="J11" s="27">
        <v>0</v>
      </c>
      <c r="K11" s="27">
        <v>0</v>
      </c>
      <c r="L11" s="27">
        <v>0</v>
      </c>
      <c r="M11" s="27">
        <f>C16*'Bảng thông số'!$E$25</f>
        <v>4.5454545454545459</v>
      </c>
    </row>
    <row r="12" spans="1:13">
      <c r="A12" s="7" t="s">
        <v>68</v>
      </c>
      <c r="B12" s="7" t="s">
        <v>11</v>
      </c>
      <c r="C12" s="27">
        <v>0</v>
      </c>
      <c r="D12" s="27">
        <v>0</v>
      </c>
      <c r="E12" s="27">
        <v>0</v>
      </c>
      <c r="F12" s="27">
        <v>0</v>
      </c>
      <c r="G12" s="27">
        <v>0</v>
      </c>
      <c r="H12" s="27">
        <v>0</v>
      </c>
      <c r="I12" s="27">
        <v>0</v>
      </c>
      <c r="J12" s="27">
        <v>0</v>
      </c>
      <c r="K12" s="27">
        <v>0</v>
      </c>
      <c r="L12" s="27">
        <v>0</v>
      </c>
      <c r="M12" s="27">
        <f>C17*'Bảng thông số'!$E$26</f>
        <v>3.1168831168831161</v>
      </c>
    </row>
    <row r="13" spans="1:13">
      <c r="A13" s="28" t="s">
        <v>69</v>
      </c>
      <c r="B13" s="28" t="s">
        <v>22</v>
      </c>
      <c r="C13" s="29">
        <f>SUM(C3,C6,C10)</f>
        <v>0</v>
      </c>
      <c r="D13" s="29">
        <f>SUM(D3,D6,D10)</f>
        <v>13.125</v>
      </c>
      <c r="E13" s="29">
        <f>SUM(E3,E6,E10)</f>
        <v>13.125</v>
      </c>
      <c r="F13" s="29">
        <f>SUM(F3,F6,F10)</f>
        <v>13.125</v>
      </c>
      <c r="G13" s="29">
        <f>SUM(G3,G6,G10)</f>
        <v>13.125</v>
      </c>
      <c r="H13" s="29">
        <f>SUM(H3,H6,H10)</f>
        <v>13.125</v>
      </c>
      <c r="I13" s="29">
        <f>SUM(I3,I6,I10)</f>
        <v>13.125</v>
      </c>
      <c r="J13" s="29">
        <f>SUM(J3,J6,J10)</f>
        <v>13.125</v>
      </c>
      <c r="K13" s="29">
        <f>SUM(K3,K6,K10)</f>
        <v>13.125</v>
      </c>
      <c r="L13" s="29">
        <f>SUM(L3,L6,L10)</f>
        <v>13.125</v>
      </c>
      <c r="M13" s="29">
        <f>SUM(M3,M6,M10)</f>
        <v>20.787337662337663</v>
      </c>
    </row>
    <row r="14" spans="1:13">
      <c r="A14" s="25" t="s">
        <v>70</v>
      </c>
      <c r="B14" s="25" t="s">
        <v>22</v>
      </c>
      <c r="C14" s="26"/>
      <c r="D14" s="26"/>
      <c r="E14" s="26"/>
      <c r="F14" s="26"/>
      <c r="G14" s="26"/>
      <c r="H14" s="26"/>
      <c r="I14" s="26"/>
      <c r="J14" s="26"/>
      <c r="K14" s="26"/>
      <c r="L14" s="26"/>
      <c r="M14" s="26"/>
    </row>
    <row r="15" spans="1:13">
      <c r="A15" s="30" t="s">
        <v>71</v>
      </c>
      <c r="B15" s="30" t="s">
        <v>22</v>
      </c>
      <c r="C15" s="31">
        <f>SUM(C16:C18)</f>
        <v>42.69168831168831</v>
      </c>
      <c r="D15" s="31">
        <v>0</v>
      </c>
      <c r="E15" s="31">
        <v>0</v>
      </c>
      <c r="F15" s="31">
        <v>0</v>
      </c>
      <c r="G15" s="31">
        <v>0</v>
      </c>
      <c r="H15" s="31">
        <v>0</v>
      </c>
      <c r="I15" s="31">
        <v>0</v>
      </c>
      <c r="J15" s="31">
        <v>0</v>
      </c>
      <c r="K15" s="31">
        <v>0</v>
      </c>
      <c r="L15" s="31">
        <v>0</v>
      </c>
      <c r="M15" s="31">
        <v>0</v>
      </c>
    </row>
    <row r="16" spans="1:13">
      <c r="A16" s="30" t="s">
        <v>67</v>
      </c>
      <c r="B16" s="30" t="s">
        <v>11</v>
      </c>
      <c r="C16" s="31">
        <f>'Bảng thông số'!$C$3 / (1+'Bảng thông số'!$G$3)</f>
        <v>22.727272727272727</v>
      </c>
      <c r="D16" s="31">
        <v>0</v>
      </c>
      <c r="E16" s="31">
        <v>0</v>
      </c>
      <c r="F16" s="31">
        <v>0</v>
      </c>
      <c r="G16" s="31">
        <v>0</v>
      </c>
      <c r="H16" s="31">
        <v>0</v>
      </c>
      <c r="I16" s="31">
        <v>0</v>
      </c>
      <c r="J16" s="31">
        <v>0</v>
      </c>
      <c r="K16" s="31">
        <v>0</v>
      </c>
      <c r="L16" s="31">
        <v>0</v>
      </c>
      <c r="M16" s="31">
        <v>0</v>
      </c>
    </row>
    <row r="17" spans="1:13">
      <c r="A17" s="30" t="s">
        <v>72</v>
      </c>
      <c r="B17" s="30" t="s">
        <v>11</v>
      </c>
      <c r="C17" s="31">
        <f>'Bảng thông số'!$C$4 / ((1+'Bảng thông số'!$G$4) * (1+'Bảng thông số'!$G$5))</f>
        <v>15.584415584415581</v>
      </c>
      <c r="D17" s="31">
        <v>0</v>
      </c>
      <c r="E17" s="31">
        <v>0</v>
      </c>
      <c r="F17" s="31">
        <v>0</v>
      </c>
      <c r="G17" s="31">
        <v>0</v>
      </c>
      <c r="H17" s="31">
        <v>0</v>
      </c>
      <c r="I17" s="31">
        <v>0</v>
      </c>
      <c r="J17" s="31">
        <v>0</v>
      </c>
      <c r="K17" s="31">
        <v>0</v>
      </c>
      <c r="L17" s="31">
        <v>0</v>
      </c>
      <c r="M17" s="31">
        <v>0</v>
      </c>
    </row>
    <row r="18" spans="1:13">
      <c r="A18" s="30" t="s">
        <v>73</v>
      </c>
      <c r="B18" s="30" t="s">
        <v>11</v>
      </c>
      <c r="C18" s="31">
        <f>'Bảng thông số'!$C$6 * ('Bảng thông số'!$G$6*'Bảng thông số'!$H$6 + 'Bảng thông số'!$G$7*'Bảng thông số'!$H$7)</f>
        <v>4.38</v>
      </c>
      <c r="D18" s="31">
        <v>0</v>
      </c>
      <c r="E18" s="31">
        <v>0</v>
      </c>
      <c r="F18" s="31">
        <v>0</v>
      </c>
      <c r="G18" s="31">
        <v>0</v>
      </c>
      <c r="H18" s="31">
        <v>0</v>
      </c>
      <c r="I18" s="31">
        <v>0</v>
      </c>
      <c r="J18" s="31">
        <v>0</v>
      </c>
      <c r="K18" s="31">
        <v>0</v>
      </c>
      <c r="L18" s="31">
        <v>0</v>
      </c>
      <c r="M18" s="31">
        <v>0</v>
      </c>
    </row>
    <row r="19" spans="1:13">
      <c r="A19" s="30" t="s">
        <v>74</v>
      </c>
      <c r="B19" s="30" t="s">
        <v>22</v>
      </c>
      <c r="C19" s="31">
        <v>0</v>
      </c>
      <c r="D19" s="31">
        <f>SUM(D20:D25)</f>
        <v>4.9305021645021627</v>
      </c>
      <c r="E19" s="31">
        <f>SUM(E20:E25)</f>
        <v>4.9305021645021627</v>
      </c>
      <c r="F19" s="31">
        <f>SUM(F20:F25)</f>
        <v>4.9305021645021627</v>
      </c>
      <c r="G19" s="31">
        <f>SUM(G20:G25)</f>
        <v>4.9305021645021627</v>
      </c>
      <c r="H19" s="31">
        <f>SUM(H20:H25)</f>
        <v>4.9305021645021627</v>
      </c>
      <c r="I19" s="31">
        <f>SUM(I20:I25)</f>
        <v>4.9305021645021627</v>
      </c>
      <c r="J19" s="31">
        <f>SUM(J20:J25)</f>
        <v>4.9305021645021627</v>
      </c>
      <c r="K19" s="31">
        <f>SUM(K20:K25)</f>
        <v>4.9305021645021627</v>
      </c>
      <c r="L19" s="31">
        <f>SUM(L20:L25)</f>
        <v>4.9305021645021627</v>
      </c>
      <c r="M19" s="31">
        <f>SUM(M20:M25)</f>
        <v>4.9305021645021627</v>
      </c>
    </row>
    <row r="20" spans="1:13">
      <c r="A20" s="30" t="s">
        <v>75</v>
      </c>
      <c r="B20" s="30" t="s">
        <v>22</v>
      </c>
      <c r="C20" s="31">
        <v>0</v>
      </c>
      <c r="D20" s="31">
        <f>'Bảng thông số'!$G$8</f>
        <v>0.35</v>
      </c>
      <c r="E20" s="31">
        <f>'Bảng thông số'!$G$8</f>
        <v>0.35</v>
      </c>
      <c r="F20" s="31">
        <f>'Bảng thông số'!$G$8</f>
        <v>0.35</v>
      </c>
      <c r="G20" s="31">
        <f>'Bảng thông số'!$G$8</f>
        <v>0.35</v>
      </c>
      <c r="H20" s="31">
        <f>'Bảng thông số'!$G$8</f>
        <v>0.35</v>
      </c>
      <c r="I20" s="31">
        <f>'Bảng thông số'!$G$8</f>
        <v>0.35</v>
      </c>
      <c r="J20" s="31">
        <f>'Bảng thông số'!$G$8</f>
        <v>0.35</v>
      </c>
      <c r="K20" s="31">
        <f>'Bảng thông số'!$G$8</f>
        <v>0.35</v>
      </c>
      <c r="L20" s="31">
        <f>'Bảng thông số'!$G$8</f>
        <v>0.35</v>
      </c>
      <c r="M20" s="31">
        <f>'Bảng thông số'!$G$8</f>
        <v>0.35</v>
      </c>
    </row>
    <row r="21" spans="1:13">
      <c r="A21" s="30" t="s">
        <v>76</v>
      </c>
      <c r="B21" s="30" t="s">
        <v>22</v>
      </c>
      <c r="C21" s="31">
        <v>0</v>
      </c>
      <c r="D21" s="31">
        <f>'Bảng thông số'!$D$10 / ((1+'Bảng thông số'!$G$10) * (1+'Bảng thông số'!$G$11))</f>
        <v>1.2121212121212117</v>
      </c>
      <c r="E21" s="31">
        <f>'Bảng thông số'!$D$10 / ((1+'Bảng thông số'!$G$10) * (1+'Bảng thông số'!$G$11))</f>
        <v>1.2121212121212117</v>
      </c>
      <c r="F21" s="31">
        <f>'Bảng thông số'!$D$10 / ((1+'Bảng thông số'!$G$10) * (1+'Bảng thông số'!$G$11))</f>
        <v>1.2121212121212117</v>
      </c>
      <c r="G21" s="31">
        <f>'Bảng thông số'!$D$10 / ((1+'Bảng thông số'!$G$10) * (1+'Bảng thông số'!$G$11))</f>
        <v>1.2121212121212117</v>
      </c>
      <c r="H21" s="31">
        <f>'Bảng thông số'!$D$10 / ((1+'Bảng thông số'!$G$10) * (1+'Bảng thông số'!$G$11))</f>
        <v>1.2121212121212117</v>
      </c>
      <c r="I21" s="31">
        <f>'Bảng thông số'!$D$10 / ((1+'Bảng thông số'!$G$10) * (1+'Bảng thông số'!$G$11))</f>
        <v>1.2121212121212117</v>
      </c>
      <c r="J21" s="31">
        <f>'Bảng thông số'!$D$10 / ((1+'Bảng thông số'!$G$10) * (1+'Bảng thông số'!$G$11))</f>
        <v>1.2121212121212117</v>
      </c>
      <c r="K21" s="31">
        <f>'Bảng thông số'!$D$10 / ((1+'Bảng thông số'!$G$10) * (1+'Bảng thông số'!$G$11))</f>
        <v>1.2121212121212117</v>
      </c>
      <c r="L21" s="31">
        <f>'Bảng thông số'!$D$10 / ((1+'Bảng thông số'!$G$10) * (1+'Bảng thông số'!$G$11))</f>
        <v>1.2121212121212117</v>
      </c>
      <c r="M21" s="31">
        <f>'Bảng thông số'!$D$10 / ((1+'Bảng thông số'!$G$10) * (1+'Bảng thông số'!$G$11))</f>
        <v>1.2121212121212117</v>
      </c>
    </row>
    <row r="22" spans="1:13">
      <c r="A22" s="30" t="s">
        <v>77</v>
      </c>
      <c r="B22" s="30" t="s">
        <v>22</v>
      </c>
      <c r="C22" s="31">
        <v>0</v>
      </c>
      <c r="D22" s="31">
        <f>'Bảng thông số'!$D$12 / ((1+'Bảng thông số'!$G$12) * (1+'Bảng thông số'!$G$13))</f>
        <v>0.95238095238095222</v>
      </c>
      <c r="E22" s="31">
        <f>'Bảng thông số'!$D$12 / ((1+'Bảng thông số'!$G$12) * (1+'Bảng thông số'!$G$13))</f>
        <v>0.95238095238095222</v>
      </c>
      <c r="F22" s="31">
        <f>'Bảng thông số'!$D$12 / ((1+'Bảng thông số'!$G$12) * (1+'Bảng thông số'!$G$13))</f>
        <v>0.95238095238095222</v>
      </c>
      <c r="G22" s="31">
        <f>'Bảng thông số'!$D$12 / ((1+'Bảng thông số'!$G$12) * (1+'Bảng thông số'!$G$13))</f>
        <v>0.95238095238095222</v>
      </c>
      <c r="H22" s="31">
        <f>'Bảng thông số'!$D$12 / ((1+'Bảng thông số'!$G$12) * (1+'Bảng thông số'!$G$13))</f>
        <v>0.95238095238095222</v>
      </c>
      <c r="I22" s="31">
        <f>'Bảng thông số'!$D$12 / ((1+'Bảng thông số'!$G$12) * (1+'Bảng thông số'!$G$13))</f>
        <v>0.95238095238095222</v>
      </c>
      <c r="J22" s="31">
        <f>'Bảng thông số'!$D$12 / ((1+'Bảng thông số'!$G$12) * (1+'Bảng thông số'!$G$13))</f>
        <v>0.95238095238095222</v>
      </c>
      <c r="K22" s="31">
        <f>'Bảng thông số'!$D$12 / ((1+'Bảng thông số'!$G$12) * (1+'Bảng thông số'!$G$13))</f>
        <v>0.95238095238095222</v>
      </c>
      <c r="L22" s="31">
        <f>'Bảng thông số'!$D$12 / ((1+'Bảng thông số'!$G$12) * (1+'Bảng thông số'!$G$13))</f>
        <v>0.95238095238095222</v>
      </c>
      <c r="M22" s="31">
        <f>'Bảng thông số'!$D$12 / ((1+'Bảng thông số'!$G$12) * (1+'Bảng thông số'!$G$13))</f>
        <v>0.95238095238095222</v>
      </c>
    </row>
    <row r="23" spans="1:13">
      <c r="A23" s="30" t="s">
        <v>78</v>
      </c>
      <c r="B23" s="30" t="s">
        <v>22</v>
      </c>
      <c r="C23" s="31">
        <v>0</v>
      </c>
      <c r="D23" s="31">
        <f>'Bảng thông số'!$D$14 * ('Bảng thông số'!$G$14*'Bảng thông số'!$H$14)</f>
        <v>1.2</v>
      </c>
      <c r="E23" s="31">
        <f>'Bảng thông số'!$D$14 * ('Bảng thông số'!$G$14*'Bảng thông số'!$H$14)</f>
        <v>1.2</v>
      </c>
      <c r="F23" s="31">
        <f>'Bảng thông số'!$D$14 * ('Bảng thông số'!$G$14*'Bảng thông số'!$H$14)</f>
        <v>1.2</v>
      </c>
      <c r="G23" s="31">
        <f>'Bảng thông số'!$D$14 * ('Bảng thông số'!$G$14*'Bảng thông số'!$H$14)</f>
        <v>1.2</v>
      </c>
      <c r="H23" s="31">
        <f>'Bảng thông số'!$D$14 * ('Bảng thông số'!$G$14*'Bảng thông số'!$H$14)</f>
        <v>1.2</v>
      </c>
      <c r="I23" s="31">
        <f>'Bảng thông số'!$D$14 * ('Bảng thông số'!$G$14*'Bảng thông số'!$H$14)</f>
        <v>1.2</v>
      </c>
      <c r="J23" s="31">
        <f>'Bảng thông số'!$D$14 * ('Bảng thông số'!$G$14*'Bảng thông số'!$H$14)</f>
        <v>1.2</v>
      </c>
      <c r="K23" s="31">
        <f>'Bảng thông số'!$D$14 * ('Bảng thông số'!$G$14*'Bảng thông số'!$H$14)</f>
        <v>1.2</v>
      </c>
      <c r="L23" s="31">
        <f>'Bảng thông số'!$D$14 * ('Bảng thông số'!$G$14*'Bảng thông số'!$H$14)</f>
        <v>1.2</v>
      </c>
      <c r="M23" s="31">
        <f>'Bảng thông số'!$D$14 * ('Bảng thông số'!$G$14*'Bảng thông số'!$H$14)</f>
        <v>1.2</v>
      </c>
    </row>
    <row r="24" spans="1:13">
      <c r="A24" s="30" t="s">
        <v>79</v>
      </c>
      <c r="B24" s="30" t="s">
        <v>22</v>
      </c>
      <c r="C24" s="31">
        <v>0</v>
      </c>
      <c r="D24" s="31">
        <f>'Bảng thông số'!$D$15 * ('Bảng thông số'!$G$15*'Bảng thông số'!$H$15 + 'Bảng thông số'!$G$16*'Bảng thông số'!$H$16)</f>
        <v>0.57599999999999996</v>
      </c>
      <c r="E24" s="31">
        <f>'Bảng thông số'!$D$15 * ('Bảng thông số'!$G$15*'Bảng thông số'!$H$15 + 'Bảng thông số'!$G$16*'Bảng thông số'!$H$16)</f>
        <v>0.57599999999999996</v>
      </c>
      <c r="F24" s="31">
        <f>'Bảng thông số'!$D$15 * ('Bảng thông số'!$G$15*'Bảng thông số'!$H$15 + 'Bảng thông số'!$G$16*'Bảng thông số'!$H$16)</f>
        <v>0.57599999999999996</v>
      </c>
      <c r="G24" s="31">
        <f>'Bảng thông số'!$D$15 * ('Bảng thông số'!$G$15*'Bảng thông số'!$H$15 + 'Bảng thông số'!$G$16*'Bảng thông số'!$H$16)</f>
        <v>0.57599999999999996</v>
      </c>
      <c r="H24" s="31">
        <f>'Bảng thông số'!$D$15 * ('Bảng thông số'!$G$15*'Bảng thông số'!$H$15 + 'Bảng thông số'!$G$16*'Bảng thông số'!$H$16)</f>
        <v>0.57599999999999996</v>
      </c>
      <c r="I24" s="31">
        <f>'Bảng thông số'!$D$15 * ('Bảng thông số'!$G$15*'Bảng thông số'!$H$15 + 'Bảng thông số'!$G$16*'Bảng thông số'!$H$16)</f>
        <v>0.57599999999999996</v>
      </c>
      <c r="J24" s="31">
        <f>'Bảng thông số'!$D$15 * ('Bảng thông số'!$G$15*'Bảng thông số'!$H$15 + 'Bảng thông số'!$G$16*'Bảng thông số'!$H$16)</f>
        <v>0.57599999999999996</v>
      </c>
      <c r="K24" s="31">
        <f>'Bảng thông số'!$D$15 * ('Bảng thông số'!$G$15*'Bảng thông số'!$H$15 + 'Bảng thông số'!$G$16*'Bảng thông số'!$H$16)</f>
        <v>0.57599999999999996</v>
      </c>
      <c r="L24" s="31">
        <f>'Bảng thông số'!$D$15 * ('Bảng thông số'!$G$15*'Bảng thông số'!$H$15 + 'Bảng thông số'!$G$16*'Bảng thông số'!$H$16)</f>
        <v>0.57599999999999996</v>
      </c>
      <c r="M24" s="31">
        <f>'Bảng thông số'!$D$15 * ('Bảng thông số'!$G$15*'Bảng thông số'!$H$15 + 'Bảng thông số'!$G$16*'Bảng thông số'!$H$16)</f>
        <v>0.57599999999999996</v>
      </c>
    </row>
    <row r="25" spans="1:13">
      <c r="A25" s="30" t="s">
        <v>80</v>
      </c>
      <c r="B25" s="30" t="s">
        <v>22</v>
      </c>
      <c r="C25" s="31">
        <v>0</v>
      </c>
      <c r="D25" s="31">
        <f>'Bảng thông số'!$D$17</f>
        <v>0.64</v>
      </c>
      <c r="E25" s="31">
        <f>'Bảng thông số'!$D$17</f>
        <v>0.64</v>
      </c>
      <c r="F25" s="31">
        <f>'Bảng thông số'!$D$17</f>
        <v>0.64</v>
      </c>
      <c r="G25" s="31">
        <f>'Bảng thông số'!$D$17</f>
        <v>0.64</v>
      </c>
      <c r="H25" s="31">
        <f>'Bảng thông số'!$D$17</f>
        <v>0.64</v>
      </c>
      <c r="I25" s="31">
        <f>'Bảng thông số'!$D$17</f>
        <v>0.64</v>
      </c>
      <c r="J25" s="31">
        <f>'Bảng thông số'!$D$17</f>
        <v>0.64</v>
      </c>
      <c r="K25" s="31">
        <f>'Bảng thông số'!$D$17</f>
        <v>0.64</v>
      </c>
      <c r="L25" s="31">
        <f>'Bảng thông số'!$D$17</f>
        <v>0.64</v>
      </c>
      <c r="M25" s="31">
        <f>'Bảng thông số'!$D$17</f>
        <v>0.64</v>
      </c>
    </row>
    <row r="26" spans="1:13">
      <c r="A26" s="28" t="s">
        <v>81</v>
      </c>
      <c r="B26" s="28" t="s">
        <v>22</v>
      </c>
      <c r="C26" s="29">
        <f>C15+SUM(C20:C25)</f>
        <v>42.69168831168831</v>
      </c>
      <c r="D26" s="29">
        <f>D15+SUM(D20:D25)</f>
        <v>4.9305021645021627</v>
      </c>
      <c r="E26" s="29">
        <f>E15+SUM(E20:E25)</f>
        <v>4.9305021645021627</v>
      </c>
      <c r="F26" s="29">
        <f>F15+SUM(F20:F25)</f>
        <v>4.9305021645021627</v>
      </c>
      <c r="G26" s="29">
        <f>G15+SUM(G20:G25)</f>
        <v>4.9305021645021627</v>
      </c>
      <c r="H26" s="29">
        <f>H15+SUM(H20:H25)</f>
        <v>4.9305021645021627</v>
      </c>
      <c r="I26" s="29">
        <f>I15+SUM(I20:I25)</f>
        <v>4.9305021645021627</v>
      </c>
      <c r="J26" s="29">
        <f>J15+SUM(J20:J25)</f>
        <v>4.9305021645021627</v>
      </c>
      <c r="K26" s="29">
        <f>K15+SUM(K20:K25)</f>
        <v>4.9305021645021627</v>
      </c>
      <c r="L26" s="29">
        <f>L15+SUM(L20:L25)</f>
        <v>4.9305021645021627</v>
      </c>
      <c r="M26" s="29">
        <f>M15+SUM(M20:M25)</f>
        <v>4.9305021645021627</v>
      </c>
    </row>
    <row r="27" spans="1:13">
      <c r="A27" s="25" t="s">
        <v>82</v>
      </c>
      <c r="B27" s="25" t="s">
        <v>22</v>
      </c>
      <c r="C27" s="26"/>
      <c r="D27" s="26"/>
      <c r="E27" s="26"/>
      <c r="F27" s="26"/>
      <c r="G27" s="26"/>
      <c r="H27" s="26"/>
      <c r="I27" s="26"/>
      <c r="J27" s="26"/>
      <c r="K27" s="26"/>
      <c r="L27" s="26"/>
      <c r="M27" s="26"/>
    </row>
    <row r="28" spans="1:13">
      <c r="A28" s="28" t="s">
        <v>83</v>
      </c>
      <c r="B28" s="28" t="s">
        <v>22</v>
      </c>
      <c r="C28" s="29">
        <f>C13-C26</f>
        <v>-42.69168831168831</v>
      </c>
      <c r="D28" s="29">
        <f>D13-D26</f>
        <v>8.1944978354978382</v>
      </c>
      <c r="E28" s="29">
        <f>E13-E26</f>
        <v>8.1944978354978382</v>
      </c>
      <c r="F28" s="29">
        <f>F13-F26</f>
        <v>8.1944978354978382</v>
      </c>
      <c r="G28" s="29">
        <f>G13-G26</f>
        <v>8.1944978354978382</v>
      </c>
      <c r="H28" s="29">
        <f>H13-H26</f>
        <v>8.1944978354978382</v>
      </c>
      <c r="I28" s="29">
        <f>I13-I26</f>
        <v>8.1944978354978382</v>
      </c>
      <c r="J28" s="29">
        <f>J13-J26</f>
        <v>8.1944978354978382</v>
      </c>
      <c r="K28" s="29">
        <f>K13-K26</f>
        <v>8.1944978354978382</v>
      </c>
      <c r="L28" s="29">
        <f>L13-L26</f>
        <v>8.1944978354978382</v>
      </c>
      <c r="M28" s="29">
        <f>M13-M26</f>
        <v>15.856835497835501</v>
      </c>
    </row>
    <row r="29" spans="1:13">
      <c r="A29" s="25" t="s">
        <v>84</v>
      </c>
      <c r="B29" s="25"/>
      <c r="C29" s="26"/>
      <c r="D29" s="26"/>
      <c r="E29" s="26"/>
      <c r="F29" s="26"/>
      <c r="G29" s="26"/>
      <c r="H29" s="26"/>
      <c r="I29" s="26"/>
      <c r="J29" s="26"/>
      <c r="K29" s="26"/>
      <c r="L29" s="26"/>
      <c r="M29" s="26"/>
    </row>
    <row r="30" spans="1:13">
      <c r="A30" s="5" t="s">
        <v>44</v>
      </c>
      <c r="B30" s="5" t="s">
        <v>85</v>
      </c>
      <c r="C30" s="6">
        <f>'Bảng thông số'!$C$27</f>
        <v>0.08</v>
      </c>
      <c r="D30" s="6"/>
      <c r="E30" s="6"/>
      <c r="F30" s="6"/>
      <c r="G30" s="6"/>
      <c r="H30" s="6"/>
      <c r="I30" s="6"/>
      <c r="J30" s="6"/>
      <c r="K30" s="6"/>
      <c r="L30" s="6"/>
      <c r="M30" s="6"/>
    </row>
    <row r="31" spans="1:13">
      <c r="A31" s="32" t="s">
        <v>86</v>
      </c>
      <c r="B31" s="32" t="s">
        <v>11</v>
      </c>
      <c r="C31" s="33">
        <f>NPV(C30, D28:M28) + C28</f>
        <v>15.843204096652471</v>
      </c>
      <c r="D31" s="34"/>
      <c r="E31" s="34"/>
      <c r="F31" s="34"/>
      <c r="G31" s="34"/>
      <c r="H31" s="34"/>
      <c r="I31" s="34"/>
      <c r="J31" s="34"/>
      <c r="K31" s="34"/>
      <c r="L31" s="34"/>
      <c r="M31" s="34"/>
    </row>
    <row r="32" spans="1:13">
      <c r="A32" s="32" t="s">
        <v>87</v>
      </c>
      <c r="B32" s="32" t="s">
        <v>11</v>
      </c>
      <c r="C32" s="33">
        <f>NPV(C30, D13:M13) + C13</f>
        <v>91.618963269807267</v>
      </c>
      <c r="D32" s="34"/>
      <c r="E32" s="34"/>
      <c r="F32" s="34"/>
      <c r="G32" s="34"/>
      <c r="H32" s="34"/>
      <c r="I32" s="34"/>
      <c r="J32" s="34"/>
      <c r="K32" s="34"/>
      <c r="L32" s="34"/>
      <c r="M32" s="34"/>
    </row>
    <row r="33" spans="1:13">
      <c r="A33" s="32" t="s">
        <v>88</v>
      </c>
      <c r="B33" s="32" t="s">
        <v>11</v>
      </c>
      <c r="C33" s="33">
        <f>NPV(C30, D26:M26) + C26</f>
        <v>75.775759173154796</v>
      </c>
      <c r="D33" s="34"/>
      <c r="E33" s="34"/>
      <c r="F33" s="34"/>
      <c r="G33" s="34"/>
      <c r="H33" s="34"/>
      <c r="I33" s="34"/>
      <c r="J33" s="34"/>
      <c r="K33" s="34"/>
      <c r="L33" s="34"/>
      <c r="M33" s="34"/>
    </row>
    <row r="34" spans="1:13">
      <c r="A34" s="32" t="s">
        <v>89</v>
      </c>
      <c r="B34" s="32" t="s">
        <v>90</v>
      </c>
      <c r="C34" s="33">
        <f>C32/C33</f>
        <v>1.2090801104407183</v>
      </c>
      <c r="D34" s="34"/>
      <c r="E34" s="34"/>
      <c r="F34" s="34"/>
      <c r="G34" s="34"/>
      <c r="H34" s="34"/>
      <c r="I34" s="34"/>
      <c r="J34" s="34"/>
      <c r="K34" s="34"/>
      <c r="L34" s="34"/>
      <c r="M34" s="34"/>
    </row>
    <row r="35" spans="1:13">
      <c r="A35" s="36" t="s">
        <v>91</v>
      </c>
      <c r="B35" s="36" t="s">
        <v>35</v>
      </c>
      <c r="C35" s="37">
        <v>0</v>
      </c>
      <c r="D35" s="35">
        <f>'Bảng thông số'!$D$19</f>
        <v>1.2</v>
      </c>
      <c r="E35" s="35">
        <f>'Bảng thông số'!$D$19</f>
        <v>1.2</v>
      </c>
      <c r="F35" s="35">
        <f>'Bảng thông số'!$D$19</f>
        <v>1.2</v>
      </c>
      <c r="G35" s="35">
        <f>'Bảng thông số'!$D$19</f>
        <v>1.2</v>
      </c>
      <c r="H35" s="35">
        <f>'Bảng thông số'!$D$19</f>
        <v>1.2</v>
      </c>
      <c r="I35" s="35">
        <f>'Bảng thông số'!$D$19</f>
        <v>1.2</v>
      </c>
      <c r="J35" s="35">
        <f>'Bảng thông số'!$D$19</f>
        <v>1.2</v>
      </c>
      <c r="K35" s="35">
        <f>'Bảng thông số'!$D$19</f>
        <v>1.2</v>
      </c>
      <c r="L35" s="35">
        <f>'Bảng thông số'!$D$19</f>
        <v>1.2</v>
      </c>
      <c r="M35" s="35">
        <f>'Bảng thông số'!$D$19</f>
        <v>1.2</v>
      </c>
    </row>
    <row r="36" spans="1:13">
      <c r="A36" s="4" t="s">
        <v>92</v>
      </c>
      <c r="B36" s="4" t="s">
        <v>37</v>
      </c>
      <c r="C36" s="34">
        <f>(C33 * 10^9) / (NPV(C30, D35:M35) * 10^6)</f>
        <v>9410.685537673322</v>
      </c>
      <c r="D36" s="1"/>
      <c r="E36" s="1"/>
      <c r="F36" s="1"/>
      <c r="G36" s="1"/>
      <c r="H36" s="1"/>
      <c r="I36" s="1"/>
      <c r="J36" s="1"/>
      <c r="K36" s="1"/>
      <c r="L36" s="1"/>
      <c r="M3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2026-09-22T05:34:38Z</dcterms:created>
  <dcterms:modified xsi:type="dcterms:W3CDTF">2026-09-22T05:56:23Z</dcterms:modified>
  <cp:category/>
  <cp:contentStatus/>
</cp:coreProperties>
</file>